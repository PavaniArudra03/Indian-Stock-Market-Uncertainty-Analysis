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ded9ed6819226a3/Desktop/"/>
    </mc:Choice>
  </mc:AlternateContent>
  <xr:revisionPtr revIDLastSave="444" documentId="8_{0B9FD6F7-C083-4AC6-9FB2-14A5F3DA8093}" xr6:coauthVersionLast="47" xr6:coauthVersionMax="47" xr10:uidLastSave="{5B3814BA-76A6-45BB-88D9-AE32C21F7F17}"/>
  <bookViews>
    <workbookView xWindow="-108" yWindow="-108" windowWidth="23256" windowHeight="13896" firstSheet="2" activeTab="4" xr2:uid="{57B0D685-A946-42B1-8305-5670B3B0F4ED}"/>
  </bookViews>
  <sheets>
    <sheet name="Data" sheetId="1" r:id="rId1"/>
    <sheet name="Descriptive Stats" sheetId="2" r:id="rId2"/>
    <sheet name="Trend Analysis" sheetId="3" r:id="rId3"/>
    <sheet name="Correlation" sheetId="4" r:id="rId4"/>
    <sheet name="Regression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<sst xmlns="http://schemas.openxmlformats.org/spreadsheetml/2006/main" count="128" uniqueCount="64">
  <si>
    <t>Year-wise Market Indices and Macroeconomic Indicators in India (2018–2024)</t>
  </si>
  <si>
    <t>Year</t>
  </si>
  <si>
    <t>NSE Yearly Average</t>
  </si>
  <si>
    <t>BSE Yearly Average</t>
  </si>
  <si>
    <t>GDP Growth Rate</t>
  </si>
  <si>
    <t>Inflation Rates [CPI ]</t>
  </si>
  <si>
    <t>REPO Rates</t>
  </si>
  <si>
    <t>Mean</t>
  </si>
  <si>
    <t>Minimum</t>
  </si>
  <si>
    <t>Maximum</t>
  </si>
  <si>
    <t>Standard Deviation</t>
  </si>
  <si>
    <t>Range</t>
  </si>
  <si>
    <t>NIFTY</t>
  </si>
  <si>
    <t>SENSEX</t>
  </si>
  <si>
    <t>Standard Error</t>
  </si>
  <si>
    <t>Descritive Stats</t>
  </si>
  <si>
    <t>Correlation Analysis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</si>
  <si>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</si>
  <si>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</si>
  <si>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</si>
  <si>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</si>
  <si>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</si>
  <si>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</si>
  <si>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</si>
  <si>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</si>
  <si>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</si>
  <si>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</si>
  <si>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</si>
  <si>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</si>
  <si>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</si>
  <si>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</si>
  <si>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</si>
  <si>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</si>
  <si>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</si>
  <si>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</si>
  <si>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</si>
  <si>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</si>
  <si>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</si>
  <si>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</si>
  <si>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</si>
  <si>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Shows overall correlation between economic uncertainty variables and market trend</t>
  </si>
  <si>
    <t>R Square (R²)</t>
  </si>
  <si>
    <t>Shows how much variation in market trends is explained by economic uncertainty</t>
  </si>
  <si>
    <t>Adjusts R² for sample size and number of variables (used as limitation)</t>
  </si>
  <si>
    <t>Indicates average deviation of predicted market values</t>
  </si>
  <si>
    <t>Explains small sample size and affects significance</t>
  </si>
  <si>
    <t>F Statistic</t>
  </si>
  <si>
    <t>Tests overall impact of economic uncertainty variables</t>
  </si>
  <si>
    <t>Indicates overall statistical significance of the regression model</t>
  </si>
  <si>
    <t>GDP Growth Coefficient</t>
  </si>
  <si>
    <t>Shows positive impact of GDP growth on market trends</t>
  </si>
  <si>
    <t>Inflation Rate Coefficient</t>
  </si>
  <si>
    <t>Indicates inflation’s effect on market movement</t>
  </si>
  <si>
    <t>Repo Rate Coefficient</t>
  </si>
  <si>
    <t>Shows influence of monetary policy on market trends</t>
  </si>
  <si>
    <t>GDP Growth p-value</t>
  </si>
  <si>
    <t>Used to explain lack of statistical significance due to small sample</t>
  </si>
  <si>
    <t>Inflation p-value</t>
  </si>
  <si>
    <t>Supporting interpretation</t>
  </si>
  <si>
    <t>Repo Rate p-value</t>
  </si>
  <si>
    <t xml:space="preserve">Value </t>
  </si>
  <si>
    <t>Significance</t>
  </si>
  <si>
    <t>Metric</t>
  </si>
  <si>
    <t>Regression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</si>
</sst>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9" formatCode="0.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8" tint="0.7999816888943144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3" fillId="2" borderId="0" xfId="0" applyFont="1" applyFill="1" applyAlignment="1">
      <alignment horizontal="center" vertical="center"/>
    </xf>
    <xf numFmtId="0" fontId="4" fillId="3" borderId="1" xfId="0" applyFont="1" applyFill="1" applyBorder="1"/>
    <xf numFmtId="0" fontId="0" fillId="0" borderId="1" xfId="0" applyBorder="1"/>
    <xf numFmtId="1" fontId="0" fillId="0" borderId="1" xfId="0" applyNumberFormat="1" applyBorder="1"/>
    <xf numFmtId="10" fontId="0" fillId="0" borderId="1" xfId="1" applyNumberFormat="1" applyFont="1" applyBorder="1"/>
    <xf numFmtId="2" fontId="5" fillId="4" borderId="1" xfId="0" applyNumberFormat="1" applyFont="1" applyFill="1" applyBorder="1"/>
    <xf numFmtId="10" fontId="0" fillId="0" borderId="1" xfId="0" applyNumberFormat="1" applyBorder="1"/>
    <xf numFmtId="2" fontId="0" fillId="0" borderId="1" xfId="1" applyNumberFormat="1" applyFont="1" applyBorder="1"/>
    <xf numFmtId="9" fontId="0" fillId="0" borderId="1" xfId="1" applyFont="1" applyBorder="1" applyAlignment="1">
      <alignment horizontal="right"/>
    </xf>
    <xf numFmtId="0" fontId="5" fillId="4" borderId="1" xfId="0" applyFont="1" applyFill="1" applyBorder="1"/>
    <xf numFmtId="2" fontId="0" fillId="0" borderId="1" xfId="0" applyNumberFormat="1" applyBorder="1"/>
    <xf numFmtId="10" fontId="5" fillId="4" borderId="1" xfId="0" applyNumberFormat="1" applyFont="1" applyFill="1" applyBorder="1"/>
    <xf numFmtId="0" fontId="0" fillId="0" borderId="1" xfId="0" applyFill="1" applyBorder="1" applyAlignment="1"/>
    <xf numFmtId="0" fontId="7" fillId="0" borderId="1" xfId="0" applyFont="1" applyFill="1" applyBorder="1" applyAlignment="1">
      <alignment horizontal="center"/>
    </xf>
    <xf numFmtId="169" fontId="0" fillId="0" borderId="1" xfId="0" applyNumberFormat="1" applyFill="1" applyBorder="1" applyAlignment="1"/>
    <xf numFmtId="2" fontId="0" fillId="0" borderId="1" xfId="0" applyNumberFormat="1" applyFill="1" applyBorder="1" applyAlignment="1"/>
    <xf numFmtId="0" fontId="2" fillId="0" borderId="1" xfId="0" applyFont="1" applyBorder="1"/>
    <xf numFmtId="0" fontId="6" fillId="0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6" fillId="0" borderId="1" xfId="0" applyFont="1" applyFill="1" applyBorder="1" applyAlignment="1">
      <alignment horizontal="centerContinuous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4" fontId="2" fillId="0" borderId="1" xfId="0" applyNumberFormat="1" applyFont="1" applyBorder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1" defaultTableStyle="TableStyleMedium2" defaultPivotStyle="PivotStyleLight16">
    <tableStyle name="Invisible" pivot="0" table="0" count="0" xr9:uid="{66E2E206-718A-4F3A-BBDD-8D7C43F7F4BC}"/>
  </tableStyles>
  <colors>
    <mruColors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'Trend Analysis'!$A$1</c:f>
              <c:strCache>
                <c:ptCount val="1"/>
                <c:pt idx="0">
                  <c:v>NIFTY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'Trend Analysis'!$E$2:$E$8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'Trend Analysis'!$A$2:$A$8</c:f>
              <c:numCache>
                <c:formatCode>General</c:formatCode>
                <c:ptCount val="7"/>
                <c:pt idx="0">
                  <c:v>10748.994437609175</c:v>
                </c:pt>
                <c:pt idx="1">
                  <c:v>11429.887328728195</c:v>
                </c:pt>
                <c:pt idx="2">
                  <c:v>11117.611515275341</c:v>
                </c:pt>
                <c:pt idx="3">
                  <c:v>16006.929449841256</c:v>
                </c:pt>
                <c:pt idx="4">
                  <c:v>17250.919338070551</c:v>
                </c:pt>
                <c:pt idx="5">
                  <c:v>18894.666666666668</c:v>
                </c:pt>
                <c:pt idx="6">
                  <c:v>23468.339146967799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F1-4892-B09D-875A9B567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1759280"/>
        <c:axId val="951760240"/>
      </c:lineChart>
      <c:catAx>
        <c:axId val="95175928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in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  <a:alpha val="25000"/>
                    </a:schemeClr>
                  </a:gs>
                  <a:gs pos="0">
                    <a:schemeClr val="dk1">
                      <a:lumMod val="65000"/>
                      <a:lumOff val="35000"/>
                      <a:alpha val="25000"/>
                    </a:schemeClr>
                  </a:gs>
                </a:gsLst>
                <a:lin ang="5400000" scaled="0"/>
              </a:gra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1760240"/>
        <c:crosses val="autoZero"/>
        <c:auto val="1"/>
        <c:lblAlgn val="ctr"/>
        <c:lblOffset val="100"/>
        <c:noMultiLvlLbl val="0"/>
      </c:catAx>
      <c:valAx>
        <c:axId val="951760240"/>
        <c:scaling>
          <c:orientation val="minMax"/>
        </c:scaling>
        <c:delete val="0"/>
        <c:axPos val="l"/>
        <c:min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  <a:alpha val="25000"/>
                    </a:schemeClr>
                  </a:gs>
                  <a:gs pos="0">
                    <a:schemeClr val="dk1">
                      <a:lumMod val="65000"/>
                      <a:lumOff val="35000"/>
                      <a:alpha val="25000"/>
                    </a:schemeClr>
                  </a:gs>
                </a:gsLst>
                <a:lin ang="5400000" scaled="0"/>
              </a:gra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1759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80" b="1" i="0" u="none" strike="noStrike" kern="1200" cap="none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'Trend Analysis'!$B$1</c:f>
              <c:strCache>
                <c:ptCount val="1"/>
                <c:pt idx="0">
                  <c:v>SENSEX</c:v>
                </c:pt>
              </c:strCache>
            </c:strRef>
          </c:tx>
          <c:spPr>
            <a:ln w="22225" cap="rnd">
              <a:solidFill>
                <a:schemeClr val="accent6">
                  <a:lumMod val="60000"/>
                  <a:lumOff val="40000"/>
                </a:schemeClr>
              </a:solidFill>
            </a:ln>
            <a:effectLst>
              <a:glow rad="63500">
                <a:schemeClr val="accent6">
                  <a:satMod val="175000"/>
                  <a:alpha val="40000"/>
                </a:schemeClr>
              </a:glow>
            </a:effectLst>
          </c:spPr>
          <c:marker>
            <c:symbol val="none"/>
          </c:marker>
          <c:cat>
            <c:numRef>
              <c:f>'Trend Analysis'!$E$2:$E$8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'Trend Analysis'!$B$2:$B$8</c:f>
              <c:numCache>
                <c:formatCode>General</c:formatCode>
                <c:ptCount val="7"/>
                <c:pt idx="0">
                  <c:v>11324.145833333334</c:v>
                </c:pt>
                <c:pt idx="1">
                  <c:v>12043.234999999999</c:v>
                </c:pt>
                <c:pt idx="2">
                  <c:v>11677.239166666666</c:v>
                </c:pt>
                <c:pt idx="3">
                  <c:v>16709.086666666666</c:v>
                </c:pt>
                <c:pt idx="4">
                  <c:v>18201.442500000001</c:v>
                </c:pt>
                <c:pt idx="5">
                  <c:v>19917.716666666667</c:v>
                </c:pt>
                <c:pt idx="6">
                  <c:v>24798.73166666667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84-48A4-BE4A-2E26A3B2E9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2014848"/>
        <c:axId val="1131999968"/>
      </c:lineChart>
      <c:catAx>
        <c:axId val="113201484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in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  <a:alpha val="25000"/>
                    </a:schemeClr>
                  </a:gs>
                  <a:gs pos="0">
                    <a:schemeClr val="dk1">
                      <a:lumMod val="65000"/>
                      <a:lumOff val="35000"/>
                      <a:alpha val="25000"/>
                    </a:schemeClr>
                  </a:gs>
                </a:gsLst>
                <a:lin ang="5400000" scaled="0"/>
              </a:gra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999968"/>
        <c:crosses val="autoZero"/>
        <c:auto val="1"/>
        <c:lblAlgn val="ctr"/>
        <c:lblOffset val="100"/>
        <c:noMultiLvlLbl val="0"/>
      </c:catAx>
      <c:valAx>
        <c:axId val="1131999968"/>
        <c:scaling>
          <c:orientation val="minMax"/>
        </c:scaling>
        <c:delete val="0"/>
        <c:axPos val="l"/>
        <c:min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  <a:alpha val="25000"/>
                    </a:schemeClr>
                  </a:gs>
                  <a:gs pos="0">
                    <a:schemeClr val="dk1">
                      <a:lumMod val="65000"/>
                      <a:lumOff val="35000"/>
                      <a:alpha val="25000"/>
                    </a:schemeClr>
                  </a:gs>
                </a:gsLst>
                <a:lin ang="5400000" scaled="0"/>
              </a:gra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014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bg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80" b="1" i="0" u="none" strike="noStrike" kern="1200" cap="none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'Trend Analysis'!$C$1</c:f>
              <c:strCache>
                <c:ptCount val="1"/>
                <c:pt idx="0">
                  <c:v>GDP Growth Rate</c:v>
                </c:pt>
              </c:strCache>
            </c:strRef>
          </c:tx>
          <c:spPr>
            <a:ln w="22225" cap="rnd">
              <a:solidFill>
                <a:srgbClr val="FFCC66"/>
              </a:solidFill>
            </a:ln>
            <a:effectLst>
              <a:glow rad="101600">
                <a:schemeClr val="accent2">
                  <a:satMod val="175000"/>
                  <a:alpha val="40000"/>
                </a:schemeClr>
              </a:glow>
            </a:effectLst>
          </c:spPr>
          <c:marker>
            <c:symbol val="none"/>
          </c:marker>
          <c:cat>
            <c:numRef>
              <c:f>'Trend Analysis'!$E$2:$E$8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'Trend Analysis'!$C$2:$C$8</c:f>
              <c:numCache>
                <c:formatCode>General</c:formatCode>
                <c:ptCount val="7"/>
                <c:pt idx="0">
                  <c:v>6.4500000000000002E-2</c:v>
                </c:pt>
                <c:pt idx="1">
                  <c:v>3.8699999999999998E-2</c:v>
                </c:pt>
                <c:pt idx="2">
                  <c:v>-5.7799999999999997E-2</c:v>
                </c:pt>
                <c:pt idx="3">
                  <c:v>9.69E-2</c:v>
                </c:pt>
                <c:pt idx="4">
                  <c:v>6.9900000000000004E-2</c:v>
                </c:pt>
                <c:pt idx="5">
                  <c:v>8.1500000000000003E-2</c:v>
                </c:pt>
                <c:pt idx="6">
                  <c:v>6.5000000000000002E-2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8C-417C-86C9-9FE889D540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8001664"/>
        <c:axId val="1198005984"/>
      </c:lineChart>
      <c:catAx>
        <c:axId val="119800166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in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  <a:alpha val="25000"/>
                    </a:schemeClr>
                  </a:gs>
                  <a:gs pos="0">
                    <a:schemeClr val="dk1">
                      <a:lumMod val="65000"/>
                      <a:lumOff val="35000"/>
                      <a:alpha val="25000"/>
                    </a:schemeClr>
                  </a:gs>
                </a:gsLst>
                <a:lin ang="5400000" scaled="0"/>
              </a:gra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005984"/>
        <c:crosses val="autoZero"/>
        <c:auto val="1"/>
        <c:lblAlgn val="ctr"/>
        <c:lblOffset val="100"/>
        <c:noMultiLvlLbl val="0"/>
      </c:catAx>
      <c:valAx>
        <c:axId val="1198005984"/>
        <c:scaling>
          <c:orientation val="minMax"/>
        </c:scaling>
        <c:delete val="0"/>
        <c:axPos val="l"/>
        <c:min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  <a:alpha val="25000"/>
                    </a:schemeClr>
                  </a:gs>
                  <a:gs pos="0">
                    <a:schemeClr val="dk1">
                      <a:lumMod val="65000"/>
                      <a:lumOff val="35000"/>
                      <a:alpha val="25000"/>
                    </a:schemeClr>
                  </a:gs>
                </a:gsLst>
                <a:lin ang="5400000" scaled="0"/>
              </a:gra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001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bg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'Trend Analysis'!$D$1</c:f>
              <c:strCache>
                <c:ptCount val="1"/>
                <c:pt idx="0">
                  <c:v>Inflation Rates [CPI ]</c:v>
                </c:pt>
              </c:strCache>
            </c:strRef>
          </c:tx>
          <c:spPr>
            <a:ln w="22225" cap="rnd">
              <a:solidFill>
                <a:schemeClr val="accent4">
                  <a:lumMod val="50000"/>
                </a:schemeClr>
              </a:solidFill>
            </a:ln>
            <a:effectLst>
              <a:glow rad="63500">
                <a:schemeClr val="accent2">
                  <a:satMod val="175000"/>
                  <a:alpha val="40000"/>
                </a:schemeClr>
              </a:glow>
            </a:effectLst>
          </c:spPr>
          <c:marker>
            <c:symbol val="none"/>
          </c:marker>
          <c:cat>
            <c:numRef>
              <c:f>'Trend Analysis'!$E$2:$E$8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'Trend Analysis'!$D$2:$D$8</c:f>
              <c:numCache>
                <c:formatCode>General</c:formatCode>
                <c:ptCount val="7"/>
                <c:pt idx="0">
                  <c:v>3.94</c:v>
                </c:pt>
                <c:pt idx="1">
                  <c:v>3.73</c:v>
                </c:pt>
                <c:pt idx="2">
                  <c:v>6.62</c:v>
                </c:pt>
                <c:pt idx="3">
                  <c:v>5.13</c:v>
                </c:pt>
                <c:pt idx="4">
                  <c:v>6.7</c:v>
                </c:pt>
                <c:pt idx="5">
                  <c:v>5.65</c:v>
                </c:pt>
                <c:pt idx="6">
                  <c:v>4.95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98-41A2-B2EE-4EBBD5A7FD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5979680"/>
        <c:axId val="1345980640"/>
      </c:lineChart>
      <c:catAx>
        <c:axId val="134597968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in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  <a:alpha val="25000"/>
                    </a:schemeClr>
                  </a:gs>
                  <a:gs pos="0">
                    <a:schemeClr val="dk1">
                      <a:lumMod val="65000"/>
                      <a:lumOff val="35000"/>
                      <a:alpha val="25000"/>
                    </a:schemeClr>
                  </a:gs>
                </a:gsLst>
                <a:lin ang="5400000" scaled="0"/>
              </a:gra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980640"/>
        <c:crosses val="autoZero"/>
        <c:auto val="1"/>
        <c:lblAlgn val="ctr"/>
        <c:lblOffset val="100"/>
        <c:noMultiLvlLbl val="0"/>
      </c:catAx>
      <c:valAx>
        <c:axId val="1345980640"/>
        <c:scaling>
          <c:orientation val="minMax"/>
        </c:scaling>
        <c:delete val="0"/>
        <c:axPos val="l"/>
        <c:min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  <a:alpha val="25000"/>
                    </a:schemeClr>
                  </a:gs>
                  <a:gs pos="0">
                    <a:schemeClr val="dk1">
                      <a:lumMod val="65000"/>
                      <a:lumOff val="35000"/>
                      <a:alpha val="25000"/>
                    </a:schemeClr>
                  </a:gs>
                </a:gsLst>
                <a:lin ang="5400000" scaled="0"/>
              </a:gra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979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1">
        <a:lumMod val="95000"/>
        <a:lumOff val="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80" b="1" i="0" u="none" strike="noStrike" kern="1200" cap="none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'Trend Analysis'!$F$1</c:f>
              <c:strCache>
                <c:ptCount val="1"/>
                <c:pt idx="0">
                  <c:v>REPO Rates</c:v>
                </c:pt>
              </c:strCache>
            </c:strRef>
          </c:tx>
          <c:spPr>
            <a:ln w="22225" cap="rnd">
              <a:solidFill>
                <a:srgbClr val="FFFF00"/>
              </a:solidFill>
            </a:ln>
            <a:effectLst>
              <a:glow rad="139700">
                <a:schemeClr val="accent4">
                  <a:satMod val="175000"/>
                  <a:alpha val="40000"/>
                </a:schemeClr>
              </a:glow>
            </a:effectLst>
          </c:spPr>
          <c:marker>
            <c:symbol val="none"/>
          </c:marker>
          <c:cat>
            <c:numRef>
              <c:f>'Trend Analysis'!$E$2:$E$8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'Trend Analysis'!$F$2:$F$8</c:f>
              <c:numCache>
                <c:formatCode>General</c:formatCode>
                <c:ptCount val="7"/>
                <c:pt idx="0">
                  <c:v>6.3750000000000001E-2</c:v>
                </c:pt>
                <c:pt idx="1">
                  <c:v>5.8499999999999996E-2</c:v>
                </c:pt>
                <c:pt idx="2">
                  <c:v>4.3100000000000006E-2</c:v>
                </c:pt>
                <c:pt idx="3">
                  <c:v>0.04</c:v>
                </c:pt>
                <c:pt idx="4">
                  <c:v>5.3699999999999991E-2</c:v>
                </c:pt>
                <c:pt idx="5">
                  <c:v>6.5000000000000002E-2</c:v>
                </c:pt>
                <c:pt idx="6">
                  <c:v>6.5000000000000002E-2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53-4CAB-B5D0-2176969D06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3752592"/>
        <c:axId val="1263747792"/>
      </c:lineChart>
      <c:catAx>
        <c:axId val="126375259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in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  <a:alpha val="25000"/>
                    </a:schemeClr>
                  </a:gs>
                  <a:gs pos="0">
                    <a:schemeClr val="dk1">
                      <a:lumMod val="65000"/>
                      <a:lumOff val="35000"/>
                      <a:alpha val="25000"/>
                    </a:schemeClr>
                  </a:gs>
                </a:gsLst>
                <a:lin ang="5400000" scaled="0"/>
              </a:gra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747792"/>
        <c:crosses val="autoZero"/>
        <c:auto val="1"/>
        <c:lblAlgn val="ctr"/>
        <c:lblOffset val="100"/>
        <c:noMultiLvlLbl val="0"/>
      </c:catAx>
      <c:valAx>
        <c:axId val="1263747792"/>
        <c:scaling>
          <c:orientation val="minMax"/>
        </c:scaling>
        <c:delete val="0"/>
        <c:axPos val="l"/>
        <c:min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  <a:alpha val="25000"/>
                    </a:schemeClr>
                  </a:gs>
                  <a:gs pos="0">
                    <a:schemeClr val="dk1">
                      <a:lumMod val="65000"/>
                      <a:lumOff val="35000"/>
                      <a:alpha val="25000"/>
                    </a:schemeClr>
                  </a:gs>
                </a:gsLst>
                <a:lin ang="5400000" scaled="0"/>
              </a:gra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752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1">
        <a:lumMod val="95000"/>
        <a:lumOff val="5000"/>
      </a:schemeClr>
    </a:solidFill>
    <a:ln w="9525" cap="flat" cmpd="sng" algn="ctr">
      <a:solidFill>
        <a:schemeClr val="accent1">
          <a:lumMod val="40000"/>
          <a:lumOff val="60000"/>
        </a:schemeClr>
      </a:solidFill>
      <a:round/>
    </a:ln>
    <a:effectLst/>
  </c:spPr>
  <c:txPr>
    <a:bodyPr/>
    <a:lstStyle/>
    <a:p>
      <a:pPr>
        <a:defRPr lang="en-US" sz="900" b="1" i="0" u="none" strike="noStrike" kern="1200" baseline="0">
          <a:solidFill>
            <a:schemeClr val="bg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8022</xdr:colOff>
      <xdr:row>0</xdr:row>
      <xdr:rowOff>0</xdr:rowOff>
    </xdr:from>
    <xdr:to>
      <xdr:col>10</xdr:col>
      <xdr:colOff>1651535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EB999C-C955-92F4-CC0E-62CBA3DBEF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8022</xdr:colOff>
      <xdr:row>14</xdr:row>
      <xdr:rowOff>180472</xdr:rowOff>
    </xdr:from>
    <xdr:to>
      <xdr:col>10</xdr:col>
      <xdr:colOff>1668379</xdr:colOff>
      <xdr:row>31</xdr:row>
      <xdr:rowOff>160419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7F2B0CD-3704-A3C0-46EA-3570EB3AAE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1628272</xdr:colOff>
      <xdr:row>0</xdr:row>
      <xdr:rowOff>0</xdr:rowOff>
    </xdr:from>
    <xdr:to>
      <xdr:col>13</xdr:col>
      <xdr:colOff>1307431</xdr:colOff>
      <xdr:row>15</xdr:row>
      <xdr:rowOff>48125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3C26BC1-6121-237D-B9BE-ED081DF29A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1668378</xdr:colOff>
      <xdr:row>15</xdr:row>
      <xdr:rowOff>56148</xdr:rowOff>
    </xdr:from>
    <xdr:to>
      <xdr:col>13</xdr:col>
      <xdr:colOff>1299409</xdr:colOff>
      <xdr:row>31</xdr:row>
      <xdr:rowOff>152400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D411154-D132-4B08-9637-AAD583B5FA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31</xdr:row>
      <xdr:rowOff>160421</xdr:rowOff>
    </xdr:from>
    <xdr:to>
      <xdr:col>13</xdr:col>
      <xdr:colOff>1323473</xdr:colOff>
      <xdr:row>50</xdr:row>
      <xdr:rowOff>168442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B4A424B-6054-4C86-901C-B1A6A5EB19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C881D-5DA1-4E89-A6F4-C5A0E750A069}">
  <dimension ref="A1:F12"/>
  <sheetViews>
    <sheetView workbookViewId="0">
      <selection activeCell="A5" sqref="A5:F12"/>
    </sheetView>
  </sheetViews>
  <sheetFormatPr defaultRowHeight="14.4" x14ac:dyDescent="0.3"/>
  <cols>
    <col min="1" max="1" width="11.6640625" customWidth="1"/>
    <col min="2" max="2" width="21.5546875" customWidth="1"/>
    <col min="3" max="3" width="19" customWidth="1"/>
    <col min="4" max="4" width="17.5546875" customWidth="1"/>
    <col min="5" max="5" width="23.44140625" customWidth="1"/>
    <col min="6" max="6" width="21.109375" customWidth="1"/>
  </cols>
  <sheetData>
    <row r="1" spans="1:6" ht="14.4" customHeight="1" x14ac:dyDescent="0.3">
      <c r="A1" s="1" t="s">
        <v>0</v>
      </c>
      <c r="B1" s="1"/>
      <c r="C1" s="1"/>
      <c r="D1" s="1"/>
      <c r="E1" s="1"/>
      <c r="F1" s="1"/>
    </row>
    <row r="2" spans="1:6" ht="14.4" customHeight="1" x14ac:dyDescent="0.3">
      <c r="A2" s="1"/>
      <c r="B2" s="1"/>
      <c r="C2" s="1"/>
      <c r="D2" s="1"/>
      <c r="E2" s="1"/>
      <c r="F2" s="1"/>
    </row>
    <row r="3" spans="1:6" ht="21" customHeight="1" x14ac:dyDescent="0.3">
      <c r="A3" s="1"/>
      <c r="B3" s="1"/>
      <c r="C3" s="1"/>
      <c r="D3" s="1"/>
      <c r="E3" s="1"/>
      <c r="F3" s="1"/>
    </row>
    <row r="5" spans="1:6" ht="15.6" x14ac:dyDescent="0.3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</row>
    <row r="6" spans="1:6" ht="15.6" x14ac:dyDescent="0.3">
      <c r="A6" s="3">
        <v>2018</v>
      </c>
      <c r="B6" s="4">
        <v>10748.994437609175</v>
      </c>
      <c r="C6" s="4">
        <v>11324.145833333334</v>
      </c>
      <c r="D6" s="5">
        <v>6.4500000000000002E-2</v>
      </c>
      <c r="E6" s="6">
        <v>3.94</v>
      </c>
      <c r="F6" s="7">
        <v>6.3750000000000001E-2</v>
      </c>
    </row>
    <row r="7" spans="1:6" x14ac:dyDescent="0.3">
      <c r="A7" s="3">
        <v>2019</v>
      </c>
      <c r="B7" s="4">
        <v>11429.887328728195</v>
      </c>
      <c r="C7" s="4">
        <v>12043.234999999999</v>
      </c>
      <c r="D7" s="5">
        <v>3.8699999999999998E-2</v>
      </c>
      <c r="E7" s="8">
        <v>3.73</v>
      </c>
      <c r="F7" s="5">
        <v>5.8499999999999996E-2</v>
      </c>
    </row>
    <row r="8" spans="1:6" x14ac:dyDescent="0.3">
      <c r="A8" s="3">
        <v>2020</v>
      </c>
      <c r="B8" s="4">
        <v>11117.611515275341</v>
      </c>
      <c r="C8" s="4">
        <v>11677.239166666666</v>
      </c>
      <c r="D8" s="5">
        <v>-5.7799999999999997E-2</v>
      </c>
      <c r="E8" s="8">
        <v>6.62</v>
      </c>
      <c r="F8" s="5">
        <v>4.3100000000000006E-2</v>
      </c>
    </row>
    <row r="9" spans="1:6" x14ac:dyDescent="0.3">
      <c r="A9" s="3">
        <v>2021</v>
      </c>
      <c r="B9" s="4">
        <v>16006.929449841256</v>
      </c>
      <c r="C9" s="4">
        <v>16709.086666666666</v>
      </c>
      <c r="D9" s="5">
        <v>9.69E-2</v>
      </c>
      <c r="E9" s="8">
        <v>5.13</v>
      </c>
      <c r="F9" s="9">
        <v>0.04</v>
      </c>
    </row>
    <row r="10" spans="1:6" x14ac:dyDescent="0.3">
      <c r="A10" s="3">
        <v>2022</v>
      </c>
      <c r="B10" s="4">
        <v>17250.919338070551</v>
      </c>
      <c r="C10" s="4">
        <v>18201.442500000001</v>
      </c>
      <c r="D10" s="5">
        <v>6.9900000000000004E-2</v>
      </c>
      <c r="E10" s="8">
        <v>6.7</v>
      </c>
      <c r="F10" s="5">
        <v>5.3699999999999991E-2</v>
      </c>
    </row>
    <row r="11" spans="1:6" x14ac:dyDescent="0.3">
      <c r="A11" s="3">
        <v>2023</v>
      </c>
      <c r="B11" s="4">
        <v>18894.666666666668</v>
      </c>
      <c r="C11" s="4">
        <v>19917.716666666667</v>
      </c>
      <c r="D11" s="5">
        <v>8.1500000000000003E-2</v>
      </c>
      <c r="E11" s="8">
        <v>5.65</v>
      </c>
      <c r="F11" s="5">
        <v>6.5000000000000002E-2</v>
      </c>
    </row>
    <row r="12" spans="1:6" ht="15.6" x14ac:dyDescent="0.3">
      <c r="A12" s="10">
        <v>2024</v>
      </c>
      <c r="B12" s="4">
        <v>23468.339146967799</v>
      </c>
      <c r="C12" s="4">
        <v>24798.73166666667</v>
      </c>
      <c r="D12" s="7">
        <v>6.5000000000000002E-2</v>
      </c>
      <c r="E12" s="11">
        <v>4.95</v>
      </c>
      <c r="F12" s="12">
        <v>6.5000000000000002E-2</v>
      </c>
    </row>
  </sheetData>
  <mergeCells count="1">
    <mergeCell ref="A1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0819F-5AC6-45DB-9D0B-CA286B4809DB}">
  <dimension ref="A1:F31"/>
  <sheetViews>
    <sheetView workbookViewId="0">
      <selection activeCell="B1" sqref="B1:F8"/>
    </sheetView>
  </sheetViews>
  <sheetFormatPr defaultColWidth="21.88671875" defaultRowHeight="14.4" x14ac:dyDescent="0.3"/>
  <cols>
    <col min="1" max="1" width="19.33203125" customWidth="1"/>
    <col min="2" max="2" width="16.77734375" bestFit="1" customWidth="1"/>
    <col min="3" max="3" width="16.5546875" bestFit="1" customWidth="1"/>
    <col min="4" max="4" width="15.33203125" bestFit="1" customWidth="1"/>
    <col min="5" max="5" width="18" bestFit="1" customWidth="1"/>
    <col min="6" max="6" width="10.44140625" bestFit="1" customWidth="1"/>
  </cols>
  <sheetData>
    <row r="1" spans="1:6" x14ac:dyDescent="0.3">
      <c r="A1" s="3" t="s">
        <v>1</v>
      </c>
      <c r="B1" s="3" t="s">
        <v>12</v>
      </c>
      <c r="C1" s="3" t="s">
        <v>13</v>
      </c>
      <c r="D1" s="3" t="s">
        <v>4</v>
      </c>
      <c r="E1" s="3" t="s">
        <v>5</v>
      </c>
      <c r="F1" s="3" t="s">
        <v>6</v>
      </c>
    </row>
    <row r="2" spans="1:6" x14ac:dyDescent="0.3">
      <c r="A2" s="3">
        <v>2018</v>
      </c>
      <c r="B2" s="3">
        <v>10748.994437609175</v>
      </c>
      <c r="C2" s="3">
        <v>11324.145833333334</v>
      </c>
      <c r="D2" s="3">
        <v>6.4500000000000002E-2</v>
      </c>
      <c r="E2" s="3">
        <v>3.94</v>
      </c>
      <c r="F2" s="3">
        <v>6.3750000000000001E-2</v>
      </c>
    </row>
    <row r="3" spans="1:6" x14ac:dyDescent="0.3">
      <c r="A3" s="3">
        <v>2019</v>
      </c>
      <c r="B3" s="3">
        <v>11429.887328728195</v>
      </c>
      <c r="C3" s="3">
        <v>12043.234999999999</v>
      </c>
      <c r="D3" s="3">
        <v>3.8699999999999998E-2</v>
      </c>
      <c r="E3" s="3">
        <v>3.73</v>
      </c>
      <c r="F3" s="3">
        <v>5.8499999999999996E-2</v>
      </c>
    </row>
    <row r="4" spans="1:6" x14ac:dyDescent="0.3">
      <c r="A4" s="3">
        <v>2020</v>
      </c>
      <c r="B4" s="3">
        <v>11117.611515275341</v>
      </c>
      <c r="C4" s="3">
        <v>11677.239166666666</v>
      </c>
      <c r="D4" s="3">
        <v>-5.7799999999999997E-2</v>
      </c>
      <c r="E4" s="3">
        <v>6.62</v>
      </c>
      <c r="F4" s="3">
        <v>4.3100000000000006E-2</v>
      </c>
    </row>
    <row r="5" spans="1:6" x14ac:dyDescent="0.3">
      <c r="A5" s="3">
        <v>2021</v>
      </c>
      <c r="B5" s="3">
        <v>16006.929449841256</v>
      </c>
      <c r="C5" s="3">
        <v>16709.086666666666</v>
      </c>
      <c r="D5" s="3">
        <v>9.69E-2</v>
      </c>
      <c r="E5" s="3">
        <v>5.13</v>
      </c>
      <c r="F5" s="3">
        <v>0.04</v>
      </c>
    </row>
    <row r="6" spans="1:6" x14ac:dyDescent="0.3">
      <c r="A6" s="3">
        <v>2022</v>
      </c>
      <c r="B6" s="3">
        <v>17250.919338070551</v>
      </c>
      <c r="C6" s="3">
        <v>18201.442500000001</v>
      </c>
      <c r="D6" s="3">
        <v>6.9900000000000004E-2</v>
      </c>
      <c r="E6" s="3">
        <v>6.7</v>
      </c>
      <c r="F6" s="3">
        <v>5.3699999999999991E-2</v>
      </c>
    </row>
    <row r="7" spans="1:6" x14ac:dyDescent="0.3">
      <c r="A7" s="3">
        <v>2023</v>
      </c>
      <c r="B7" s="3">
        <v>18894.666666666668</v>
      </c>
      <c r="C7" s="3">
        <v>19917.716666666667</v>
      </c>
      <c r="D7" s="3">
        <v>8.1500000000000003E-2</v>
      </c>
      <c r="E7" s="3">
        <v>5.65</v>
      </c>
      <c r="F7" s="3">
        <v>6.5000000000000002E-2</v>
      </c>
    </row>
    <row r="8" spans="1:6" x14ac:dyDescent="0.3">
      <c r="A8" s="3">
        <v>2024</v>
      </c>
      <c r="B8" s="3">
        <v>23468.339146967799</v>
      </c>
      <c r="C8" s="3">
        <v>24798.73166666667</v>
      </c>
      <c r="D8" s="3">
        <v>6.5000000000000002E-2</v>
      </c>
      <c r="E8" s="3">
        <v>4.95</v>
      </c>
      <c r="F8" s="3">
        <v>6.5000000000000002E-2</v>
      </c>
    </row>
    <row r="11" spans="1:6" x14ac:dyDescent="0.3">
      <c r="A11" s="17" t="s">
        <v>15</v>
      </c>
    </row>
    <row r="12" spans="1:6" x14ac:dyDescent="0.3">
      <c r="A12" s="14" t="s">
        <v>12</v>
      </c>
      <c r="B12" s="14"/>
      <c r="C12" s="14" t="s">
        <v>13</v>
      </c>
      <c r="D12" s="14"/>
    </row>
    <row r="13" spans="1:6" x14ac:dyDescent="0.3">
      <c r="A13" s="13" t="s">
        <v>7</v>
      </c>
      <c r="B13" s="16">
        <v>14241.501456031865</v>
      </c>
      <c r="C13" s="16" t="s">
        <v>7</v>
      </c>
      <c r="D13" s="16">
        <v>14978.810972222223</v>
      </c>
    </row>
    <row r="14" spans="1:6" x14ac:dyDescent="0.3">
      <c r="A14" s="13" t="s">
        <v>10</v>
      </c>
      <c r="B14" s="16">
        <v>3568.9423112195886</v>
      </c>
      <c r="C14" s="16" t="s">
        <v>10</v>
      </c>
      <c r="D14" s="16">
        <v>3758.8976403878205</v>
      </c>
    </row>
    <row r="15" spans="1:6" x14ac:dyDescent="0.3">
      <c r="A15" s="13" t="s">
        <v>11</v>
      </c>
      <c r="B15" s="16">
        <v>8145.6722290574926</v>
      </c>
      <c r="C15" s="16" t="s">
        <v>11</v>
      </c>
      <c r="D15" s="16">
        <v>8593.5708333333332</v>
      </c>
    </row>
    <row r="16" spans="1:6" x14ac:dyDescent="0.3">
      <c r="A16" s="13" t="s">
        <v>8</v>
      </c>
      <c r="B16" s="16">
        <v>10748.994437609175</v>
      </c>
      <c r="C16" s="16" t="s">
        <v>8</v>
      </c>
      <c r="D16" s="16">
        <v>11324.145833333334</v>
      </c>
    </row>
    <row r="17" spans="1:4" x14ac:dyDescent="0.3">
      <c r="A17" s="13" t="s">
        <v>9</v>
      </c>
      <c r="B17" s="16">
        <v>18894.666666666668</v>
      </c>
      <c r="C17" s="16" t="s">
        <v>9</v>
      </c>
      <c r="D17" s="16">
        <v>19917.716666666667</v>
      </c>
    </row>
    <row r="19" spans="1:4" x14ac:dyDescent="0.3">
      <c r="A19" s="14" t="s">
        <v>4</v>
      </c>
      <c r="B19" s="14"/>
      <c r="C19" s="14" t="s">
        <v>5</v>
      </c>
      <c r="D19" s="14"/>
    </row>
    <row r="20" spans="1:4" x14ac:dyDescent="0.3">
      <c r="A20" s="13" t="s">
        <v>7</v>
      </c>
      <c r="B20" s="16">
        <v>4.895E-2</v>
      </c>
      <c r="C20" s="16" t="s">
        <v>7</v>
      </c>
      <c r="D20" s="16">
        <v>5.294999999999999</v>
      </c>
    </row>
    <row r="21" spans="1:4" x14ac:dyDescent="0.3">
      <c r="A21" s="13" t="s">
        <v>10</v>
      </c>
      <c r="B21" s="16">
        <v>5.5749502239930346E-2</v>
      </c>
      <c r="C21" s="16" t="s">
        <v>10</v>
      </c>
      <c r="D21" s="16">
        <v>1.2781353605937091</v>
      </c>
    </row>
    <row r="22" spans="1:4" x14ac:dyDescent="0.3">
      <c r="A22" s="13" t="s">
        <v>11</v>
      </c>
      <c r="B22" s="16">
        <v>0.1547</v>
      </c>
      <c r="C22" s="16" t="s">
        <v>11</v>
      </c>
      <c r="D22" s="16">
        <v>2.97</v>
      </c>
    </row>
    <row r="23" spans="1:4" x14ac:dyDescent="0.3">
      <c r="A23" s="13" t="s">
        <v>8</v>
      </c>
      <c r="B23" s="16">
        <v>-5.7799999999999997E-2</v>
      </c>
      <c r="C23" s="16" t="s">
        <v>8</v>
      </c>
      <c r="D23" s="16">
        <v>3.73</v>
      </c>
    </row>
    <row r="24" spans="1:4" x14ac:dyDescent="0.3">
      <c r="A24" s="13" t="s">
        <v>9</v>
      </c>
      <c r="B24" s="16">
        <v>9.69E-2</v>
      </c>
      <c r="C24" s="16" t="s">
        <v>9</v>
      </c>
      <c r="D24" s="16">
        <v>6.7</v>
      </c>
    </row>
    <row r="26" spans="1:4" x14ac:dyDescent="0.3">
      <c r="A26" s="14" t="s">
        <v>6</v>
      </c>
      <c r="B26" s="14"/>
    </row>
    <row r="27" spans="1:4" x14ac:dyDescent="0.3">
      <c r="A27" s="13" t="s">
        <v>7</v>
      </c>
      <c r="B27" s="15">
        <v>5.4008333333333332E-2</v>
      </c>
    </row>
    <row r="28" spans="1:4" x14ac:dyDescent="0.3">
      <c r="A28" s="13" t="s">
        <v>10</v>
      </c>
      <c r="B28" s="15">
        <v>1.0499638882679114E-2</v>
      </c>
    </row>
    <row r="29" spans="1:4" x14ac:dyDescent="0.3">
      <c r="A29" s="13" t="s">
        <v>11</v>
      </c>
      <c r="B29" s="15">
        <v>2.5000000000000001E-2</v>
      </c>
    </row>
    <row r="30" spans="1:4" x14ac:dyDescent="0.3">
      <c r="A30" s="13" t="s">
        <v>8</v>
      </c>
      <c r="B30" s="15">
        <v>0.04</v>
      </c>
    </row>
    <row r="31" spans="1:4" x14ac:dyDescent="0.3">
      <c r="A31" s="13" t="s">
        <v>9</v>
      </c>
      <c r="B31" s="15">
        <v>6.5000000000000002E-2</v>
      </c>
    </row>
  </sheetData>
  <mergeCells count="5">
    <mergeCell ref="A12:B12"/>
    <mergeCell ref="C12:D12"/>
    <mergeCell ref="A19:B19"/>
    <mergeCell ref="C19:D19"/>
    <mergeCell ref="A26:B2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0CE29-F544-4FD8-82AC-87D124B166AE}">
  <dimension ref="A1:F8"/>
  <sheetViews>
    <sheetView topLeftCell="H1" zoomScale="46" zoomScaleNormal="46" workbookViewId="0">
      <selection activeCell="I33" sqref="I33"/>
    </sheetView>
  </sheetViews>
  <sheetFormatPr defaultColWidth="29.44140625" defaultRowHeight="14.4" x14ac:dyDescent="0.3"/>
  <cols>
    <col min="1" max="2" width="12" bestFit="1" customWidth="1"/>
    <col min="3" max="3" width="15.33203125" bestFit="1" customWidth="1"/>
    <col min="4" max="4" width="18" bestFit="1" customWidth="1"/>
    <col min="5" max="5" width="12" customWidth="1"/>
    <col min="6" max="6" width="10.44140625" bestFit="1" customWidth="1"/>
  </cols>
  <sheetData>
    <row r="1" spans="1:6" x14ac:dyDescent="0.3">
      <c r="A1" s="3" t="s">
        <v>12</v>
      </c>
      <c r="B1" s="3" t="s">
        <v>13</v>
      </c>
      <c r="C1" s="3" t="s">
        <v>4</v>
      </c>
      <c r="D1" s="3" t="s">
        <v>5</v>
      </c>
      <c r="E1" s="3" t="s">
        <v>1</v>
      </c>
      <c r="F1" s="3" t="s">
        <v>6</v>
      </c>
    </row>
    <row r="2" spans="1:6" x14ac:dyDescent="0.3">
      <c r="A2" s="3">
        <v>10748.994437609175</v>
      </c>
      <c r="B2" s="3">
        <v>11324.145833333334</v>
      </c>
      <c r="C2" s="3">
        <v>6.4500000000000002E-2</v>
      </c>
      <c r="D2" s="3">
        <v>3.94</v>
      </c>
      <c r="E2" s="3">
        <v>2018</v>
      </c>
      <c r="F2" s="3">
        <v>6.3750000000000001E-2</v>
      </c>
    </row>
    <row r="3" spans="1:6" x14ac:dyDescent="0.3">
      <c r="A3" s="3">
        <v>11429.887328728195</v>
      </c>
      <c r="B3" s="3">
        <v>12043.234999999999</v>
      </c>
      <c r="C3" s="3">
        <v>3.8699999999999998E-2</v>
      </c>
      <c r="D3" s="3">
        <v>3.73</v>
      </c>
      <c r="E3" s="3">
        <v>2019</v>
      </c>
      <c r="F3" s="3">
        <v>5.8499999999999996E-2</v>
      </c>
    </row>
    <row r="4" spans="1:6" x14ac:dyDescent="0.3">
      <c r="A4" s="3">
        <v>11117.611515275341</v>
      </c>
      <c r="B4" s="3">
        <v>11677.239166666666</v>
      </c>
      <c r="C4" s="3">
        <v>-5.7799999999999997E-2</v>
      </c>
      <c r="D4" s="3">
        <v>6.62</v>
      </c>
      <c r="E4" s="3">
        <v>2020</v>
      </c>
      <c r="F4" s="3">
        <v>4.3100000000000006E-2</v>
      </c>
    </row>
    <row r="5" spans="1:6" x14ac:dyDescent="0.3">
      <c r="A5" s="3">
        <v>16006.929449841256</v>
      </c>
      <c r="B5" s="3">
        <v>16709.086666666666</v>
      </c>
      <c r="C5" s="3">
        <v>9.69E-2</v>
      </c>
      <c r="D5" s="3">
        <v>5.13</v>
      </c>
      <c r="E5" s="3">
        <v>2021</v>
      </c>
      <c r="F5" s="3">
        <v>0.04</v>
      </c>
    </row>
    <row r="6" spans="1:6" x14ac:dyDescent="0.3">
      <c r="A6" s="3">
        <v>17250.919338070551</v>
      </c>
      <c r="B6" s="3">
        <v>18201.442500000001</v>
      </c>
      <c r="C6" s="3">
        <v>6.9900000000000004E-2</v>
      </c>
      <c r="D6" s="3">
        <v>6.7</v>
      </c>
      <c r="E6" s="3">
        <v>2022</v>
      </c>
      <c r="F6" s="3">
        <v>5.3699999999999991E-2</v>
      </c>
    </row>
    <row r="7" spans="1:6" x14ac:dyDescent="0.3">
      <c r="A7" s="3">
        <v>18894.666666666668</v>
      </c>
      <c r="B7" s="3">
        <v>19917.716666666667</v>
      </c>
      <c r="C7" s="3">
        <v>8.1500000000000003E-2</v>
      </c>
      <c r="D7" s="3">
        <v>5.65</v>
      </c>
      <c r="E7" s="3">
        <v>2023</v>
      </c>
      <c r="F7" s="3">
        <v>6.5000000000000002E-2</v>
      </c>
    </row>
    <row r="8" spans="1:6" x14ac:dyDescent="0.3">
      <c r="A8" s="3">
        <v>23468.339146967799</v>
      </c>
      <c r="B8" s="3">
        <v>24798.73166666667</v>
      </c>
      <c r="C8" s="3">
        <v>6.5000000000000002E-2</v>
      </c>
      <c r="D8" s="3">
        <v>4.95</v>
      </c>
      <c r="E8" s="3">
        <v>2024</v>
      </c>
      <c r="F8" s="3">
        <v>6.5000000000000002E-2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45AFC-F66E-43FC-A4E6-2FAFA062357C}">
  <dimension ref="A1:F17"/>
  <sheetViews>
    <sheetView workbookViewId="0">
      <selection sqref="A1:E8"/>
    </sheetView>
  </sheetViews>
  <sheetFormatPr defaultColWidth="25.109375" defaultRowHeight="14.4" x14ac:dyDescent="0.3"/>
  <cols>
    <col min="1" max="1" width="19.5546875" customWidth="1"/>
    <col min="2" max="2" width="12" bestFit="1" customWidth="1"/>
    <col min="3" max="3" width="15.33203125" bestFit="1" customWidth="1"/>
    <col min="4" max="4" width="18" bestFit="1" customWidth="1"/>
    <col min="5" max="5" width="22.88671875" customWidth="1"/>
  </cols>
  <sheetData>
    <row r="1" spans="1:6" x14ac:dyDescent="0.3">
      <c r="A1" s="3" t="s">
        <v>12</v>
      </c>
      <c r="B1" s="3" t="s">
        <v>13</v>
      </c>
      <c r="C1" s="3" t="s">
        <v>4</v>
      </c>
      <c r="D1" s="3" t="s">
        <v>5</v>
      </c>
      <c r="E1" s="3" t="s">
        <v>6</v>
      </c>
    </row>
    <row r="2" spans="1:6" x14ac:dyDescent="0.3">
      <c r="A2" s="3">
        <v>10748.994437609175</v>
      </c>
      <c r="B2" s="3">
        <v>11324.145833333334</v>
      </c>
      <c r="C2" s="3">
        <v>6.4500000000000002E-2</v>
      </c>
      <c r="D2" s="3">
        <v>3.94</v>
      </c>
      <c r="E2" s="3">
        <v>6.3750000000000001E-2</v>
      </c>
    </row>
    <row r="3" spans="1:6" x14ac:dyDescent="0.3">
      <c r="A3" s="3">
        <v>11429.887328728195</v>
      </c>
      <c r="B3" s="3">
        <v>12043.234999999999</v>
      </c>
      <c r="C3" s="3">
        <v>3.8699999999999998E-2</v>
      </c>
      <c r="D3" s="3">
        <v>3.73</v>
      </c>
      <c r="E3" s="3">
        <v>5.8499999999999996E-2</v>
      </c>
    </row>
    <row r="4" spans="1:6" x14ac:dyDescent="0.3">
      <c r="A4" s="3">
        <v>11117.611515275341</v>
      </c>
      <c r="B4" s="3">
        <v>11677.239166666666</v>
      </c>
      <c r="C4" s="3">
        <v>-5.7799999999999997E-2</v>
      </c>
      <c r="D4" s="3">
        <v>6.62</v>
      </c>
      <c r="E4" s="3">
        <v>4.3100000000000006E-2</v>
      </c>
    </row>
    <row r="5" spans="1:6" x14ac:dyDescent="0.3">
      <c r="A5" s="3">
        <v>16006.929449841256</v>
      </c>
      <c r="B5" s="3">
        <v>16709.086666666666</v>
      </c>
      <c r="C5" s="3">
        <v>9.69E-2</v>
      </c>
      <c r="D5" s="3">
        <v>5.13</v>
      </c>
      <c r="E5" s="3">
        <v>0.04</v>
      </c>
    </row>
    <row r="6" spans="1:6" x14ac:dyDescent="0.3">
      <c r="A6" s="3">
        <v>17250.919338070551</v>
      </c>
      <c r="B6" s="3">
        <v>18201.442500000001</v>
      </c>
      <c r="C6" s="3">
        <v>6.9900000000000004E-2</v>
      </c>
      <c r="D6" s="3">
        <v>6.7</v>
      </c>
      <c r="E6" s="3">
        <v>5.3699999999999991E-2</v>
      </c>
    </row>
    <row r="7" spans="1:6" x14ac:dyDescent="0.3">
      <c r="A7" s="3">
        <v>18894.666666666668</v>
      </c>
      <c r="B7" s="3">
        <v>19917.716666666667</v>
      </c>
      <c r="C7" s="3">
        <v>8.1500000000000003E-2</v>
      </c>
      <c r="D7" s="3">
        <v>5.65</v>
      </c>
      <c r="E7" s="3">
        <v>6.5000000000000002E-2</v>
      </c>
    </row>
    <row r="8" spans="1:6" x14ac:dyDescent="0.3">
      <c r="A8" s="3">
        <v>23468.339146967799</v>
      </c>
      <c r="B8" s="3">
        <v>24798.73166666667</v>
      </c>
      <c r="C8" s="3">
        <v>6.5000000000000002E-2</v>
      </c>
      <c r="D8" s="3">
        <v>4.95</v>
      </c>
      <c r="E8" s="3">
        <v>6.5000000000000002E-2</v>
      </c>
    </row>
    <row r="11" spans="1:6" x14ac:dyDescent="0.3">
      <c r="A11" s="19" t="s">
        <v>16</v>
      </c>
      <c r="B11" s="19"/>
    </row>
    <row r="12" spans="1:6" x14ac:dyDescent="0.3">
      <c r="A12" s="18"/>
      <c r="B12" s="18" t="s">
        <v>12</v>
      </c>
      <c r="C12" s="18" t="s">
        <v>13</v>
      </c>
      <c r="D12" s="18" t="s">
        <v>4</v>
      </c>
      <c r="E12" s="18" t="s">
        <v>5</v>
      </c>
      <c r="F12" s="18" t="s">
        <v>6</v>
      </c>
    </row>
    <row r="13" spans="1:6" x14ac:dyDescent="0.3">
      <c r="A13" s="13" t="s">
        <v>12</v>
      </c>
      <c r="B13" s="13">
        <v>1</v>
      </c>
      <c r="C13" s="13"/>
      <c r="D13" s="13"/>
      <c r="E13" s="13"/>
      <c r="F13" s="13"/>
    </row>
    <row r="14" spans="1:6" x14ac:dyDescent="0.3">
      <c r="A14" s="13" t="s">
        <v>13</v>
      </c>
      <c r="B14" s="13">
        <v>0.99991334938269205</v>
      </c>
      <c r="C14" s="13">
        <v>1</v>
      </c>
      <c r="D14" s="13"/>
      <c r="E14" s="13"/>
      <c r="F14" s="13"/>
    </row>
    <row r="15" spans="1:6" x14ac:dyDescent="0.3">
      <c r="A15" s="13" t="s">
        <v>4</v>
      </c>
      <c r="B15" s="13">
        <v>0.50018977056750791</v>
      </c>
      <c r="C15" s="13">
        <v>0.49667937526607164</v>
      </c>
      <c r="D15" s="13">
        <v>1</v>
      </c>
      <c r="E15" s="13"/>
      <c r="F15" s="13"/>
    </row>
    <row r="16" spans="1:6" x14ac:dyDescent="0.3">
      <c r="A16" s="13" t="s">
        <v>5</v>
      </c>
      <c r="B16" s="13">
        <v>0.23361247295261731</v>
      </c>
      <c r="C16" s="13">
        <v>0.2320745778191767</v>
      </c>
      <c r="D16" s="13">
        <v>-0.32722968598209645</v>
      </c>
      <c r="E16" s="13">
        <v>1</v>
      </c>
      <c r="F16" s="13"/>
    </row>
    <row r="17" spans="1:6" x14ac:dyDescent="0.3">
      <c r="A17" s="13" t="s">
        <v>6</v>
      </c>
      <c r="B17" s="13">
        <v>0.33377245046849902</v>
      </c>
      <c r="C17" s="13">
        <v>0.34340582809327841</v>
      </c>
      <c r="D17" s="13">
        <v>0.34265062003890018</v>
      </c>
      <c r="E17" s="13">
        <v>-0.43694022158629309</v>
      </c>
      <c r="F17" s="13">
        <v>1</v>
      </c>
    </row>
  </sheetData>
  <mergeCells count="1">
    <mergeCell ref="A11:B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B7607-46D9-445D-BF03-91CECD81C11C}">
  <dimension ref="G1:T31"/>
  <sheetViews>
    <sheetView tabSelected="1" topLeftCell="L1" workbookViewId="0">
      <selection activeCell="R2" sqref="R2:S15"/>
    </sheetView>
  </sheetViews>
  <sheetFormatPr defaultRowHeight="14.4" x14ac:dyDescent="0.3"/>
  <cols>
    <col min="7" max="7" width="18" bestFit="1" customWidth="1"/>
    <col min="8" max="8" width="15.33203125" bestFit="1" customWidth="1"/>
    <col min="9" max="9" width="18" bestFit="1" customWidth="1"/>
    <col min="10" max="10" width="12.6640625" bestFit="1" customWidth="1"/>
    <col min="11" max="11" width="12" bestFit="1" customWidth="1"/>
    <col min="12" max="12" width="12.6640625" bestFit="1" customWidth="1"/>
    <col min="13" max="13" width="12" bestFit="1" customWidth="1"/>
    <col min="14" max="14" width="12.6640625" bestFit="1" customWidth="1"/>
    <col min="15" max="15" width="12.109375" bestFit="1" customWidth="1"/>
    <col min="18" max="18" width="22.21875" bestFit="1" customWidth="1"/>
    <col min="19" max="19" width="10.109375" bestFit="1" customWidth="1"/>
    <col min="20" max="20" width="62.21875" customWidth="1"/>
  </cols>
  <sheetData>
    <row r="1" spans="7:20" x14ac:dyDescent="0.3">
      <c r="G1" s="3" t="s">
        <v>12</v>
      </c>
      <c r="H1" s="3" t="s">
        <v>4</v>
      </c>
      <c r="I1" s="3" t="s">
        <v>5</v>
      </c>
      <c r="J1" s="3" t="s">
        <v>6</v>
      </c>
      <c r="R1" s="17" t="s">
        <v>63</v>
      </c>
    </row>
    <row r="2" spans="7:20" x14ac:dyDescent="0.3">
      <c r="G2" s="3">
        <v>10748.994437609175</v>
      </c>
      <c r="H2" s="3">
        <v>6.4500000000000002E-2</v>
      </c>
      <c r="I2" s="3">
        <v>3.94</v>
      </c>
      <c r="J2" s="3">
        <v>6.3750000000000001E-2</v>
      </c>
      <c r="R2" s="24" t="s">
        <v>62</v>
      </c>
      <c r="S2" s="24" t="s">
        <v>60</v>
      </c>
      <c r="T2" s="24" t="s">
        <v>61</v>
      </c>
    </row>
    <row r="3" spans="7:20" ht="28.8" x14ac:dyDescent="0.3">
      <c r="G3" s="3">
        <v>11429.887328728195</v>
      </c>
      <c r="H3" s="3">
        <v>3.8699999999999998E-2</v>
      </c>
      <c r="I3" s="3">
        <v>3.73</v>
      </c>
      <c r="J3" s="3">
        <v>5.8499999999999996E-2</v>
      </c>
      <c r="R3" s="25" t="s">
        <v>19</v>
      </c>
      <c r="S3" s="25">
        <v>0.74170000000000003</v>
      </c>
      <c r="T3" s="25" t="s">
        <v>40</v>
      </c>
    </row>
    <row r="4" spans="7:20" ht="28.8" x14ac:dyDescent="0.3">
      <c r="G4" s="3">
        <v>11117.611515275341</v>
      </c>
      <c r="H4" s="3">
        <v>-5.7799999999999997E-2</v>
      </c>
      <c r="I4" s="3">
        <v>6.62</v>
      </c>
      <c r="J4" s="3">
        <v>4.3100000000000006E-2</v>
      </c>
      <c r="R4" s="26" t="s">
        <v>41</v>
      </c>
      <c r="S4" s="26">
        <v>0.55010000000000003</v>
      </c>
      <c r="T4" s="25" t="s">
        <v>42</v>
      </c>
    </row>
    <row r="5" spans="7:20" x14ac:dyDescent="0.3">
      <c r="G5" s="3">
        <v>16006.929449841256</v>
      </c>
      <c r="H5" s="3">
        <v>9.69E-2</v>
      </c>
      <c r="I5" s="3">
        <v>5.13</v>
      </c>
      <c r="J5" s="3">
        <v>0.04</v>
      </c>
      <c r="R5" s="25" t="s">
        <v>21</v>
      </c>
      <c r="S5" s="25">
        <v>0.1003</v>
      </c>
      <c r="T5" s="25" t="s">
        <v>43</v>
      </c>
    </row>
    <row r="6" spans="7:20" x14ac:dyDescent="0.3">
      <c r="G6" s="3">
        <v>17250.919338070551</v>
      </c>
      <c r="H6" s="3">
        <v>6.9900000000000004E-2</v>
      </c>
      <c r="I6" s="3">
        <v>6.7</v>
      </c>
      <c r="J6" s="3">
        <v>5.3699999999999991E-2</v>
      </c>
      <c r="R6" s="25" t="s">
        <v>14</v>
      </c>
      <c r="S6" s="25">
        <v>4526.71</v>
      </c>
      <c r="T6" s="25" t="s">
        <v>44</v>
      </c>
    </row>
    <row r="7" spans="7:20" x14ac:dyDescent="0.3">
      <c r="G7" s="3">
        <v>18894.666666666668</v>
      </c>
      <c r="H7" s="3">
        <v>8.1500000000000003E-2</v>
      </c>
      <c r="I7" s="3">
        <v>5.65</v>
      </c>
      <c r="J7" s="3">
        <v>6.5000000000000002E-2</v>
      </c>
      <c r="R7" s="25" t="s">
        <v>22</v>
      </c>
      <c r="S7" s="25">
        <v>7</v>
      </c>
      <c r="T7" s="25" t="s">
        <v>45</v>
      </c>
    </row>
    <row r="8" spans="7:20" x14ac:dyDescent="0.3">
      <c r="G8" s="3">
        <v>23468.339146967799</v>
      </c>
      <c r="H8" s="3">
        <v>6.5000000000000002E-2</v>
      </c>
      <c r="I8" s="3">
        <v>4.95</v>
      </c>
      <c r="J8" s="3">
        <v>6.5000000000000002E-2</v>
      </c>
      <c r="R8" s="26" t="s">
        <v>46</v>
      </c>
      <c r="S8" s="26">
        <v>1.2231000000000001</v>
      </c>
      <c r="T8" s="25" t="s">
        <v>47</v>
      </c>
    </row>
    <row r="9" spans="7:20" x14ac:dyDescent="0.3">
      <c r="R9" s="26" t="s">
        <v>32</v>
      </c>
      <c r="S9" s="26">
        <v>0.43619999999999998</v>
      </c>
      <c r="T9" s="25" t="s">
        <v>48</v>
      </c>
    </row>
    <row r="10" spans="7:20" x14ac:dyDescent="0.3">
      <c r="R10" s="26" t="s">
        <v>49</v>
      </c>
      <c r="S10" s="27">
        <v>51773.93</v>
      </c>
      <c r="T10" s="25" t="s">
        <v>50</v>
      </c>
    </row>
    <row r="11" spans="7:20" x14ac:dyDescent="0.3">
      <c r="R11" s="26" t="s">
        <v>51</v>
      </c>
      <c r="S11" s="27">
        <v>2402.33</v>
      </c>
      <c r="T11" s="25" t="s">
        <v>52</v>
      </c>
    </row>
    <row r="12" spans="7:20" x14ac:dyDescent="0.3">
      <c r="G12" t="s">
        <v>17</v>
      </c>
      <c r="R12" s="26" t="s">
        <v>53</v>
      </c>
      <c r="S12" s="27">
        <v>183415.57</v>
      </c>
      <c r="T12" s="25" t="s">
        <v>54</v>
      </c>
    </row>
    <row r="13" spans="7:20" x14ac:dyDescent="0.3">
      <c r="R13" s="25" t="s">
        <v>55</v>
      </c>
      <c r="S13" s="25">
        <v>0.27889999999999998</v>
      </c>
      <c r="T13" s="25" t="s">
        <v>56</v>
      </c>
    </row>
    <row r="14" spans="7:20" x14ac:dyDescent="0.3">
      <c r="G14" s="20" t="s">
        <v>18</v>
      </c>
      <c r="H14" s="20"/>
      <c r="R14" s="25" t="s">
        <v>57</v>
      </c>
      <c r="S14" s="25">
        <v>0.27210000000000001</v>
      </c>
      <c r="T14" s="25" t="s">
        <v>58</v>
      </c>
    </row>
    <row r="15" spans="7:20" x14ac:dyDescent="0.3">
      <c r="G15" s="13" t="s">
        <v>19</v>
      </c>
      <c r="H15" s="13">
        <v>0.74173527814272844</v>
      </c>
      <c r="R15" s="25" t="s">
        <v>59</v>
      </c>
      <c r="S15" s="25">
        <v>0.43149999999999999</v>
      </c>
      <c r="T15" s="25" t="s">
        <v>58</v>
      </c>
    </row>
    <row r="16" spans="7:20" x14ac:dyDescent="0.3">
      <c r="G16" s="13" t="s">
        <v>20</v>
      </c>
      <c r="H16" s="13">
        <v>0.5501712228414708</v>
      </c>
    </row>
    <row r="17" spans="7:15" x14ac:dyDescent="0.3">
      <c r="G17" s="13" t="s">
        <v>21</v>
      </c>
      <c r="H17" s="13">
        <v>0.10034244568294159</v>
      </c>
    </row>
    <row r="18" spans="7:15" x14ac:dyDescent="0.3">
      <c r="G18" s="13" t="s">
        <v>14</v>
      </c>
      <c r="H18" s="13">
        <v>4526.7075030411597</v>
      </c>
    </row>
    <row r="19" spans="7:15" x14ac:dyDescent="0.3">
      <c r="G19" s="13" t="s">
        <v>22</v>
      </c>
      <c r="H19" s="13">
        <v>7</v>
      </c>
    </row>
    <row r="21" spans="7:15" x14ac:dyDescent="0.3">
      <c r="G21" s="21" t="s">
        <v>23</v>
      </c>
      <c r="H21" s="22"/>
      <c r="I21" s="22"/>
      <c r="J21" s="22"/>
      <c r="K21" s="22"/>
      <c r="L21" s="23"/>
    </row>
    <row r="22" spans="7:15" x14ac:dyDescent="0.3">
      <c r="G22" s="18"/>
      <c r="H22" s="18" t="s">
        <v>28</v>
      </c>
      <c r="I22" s="18" t="s">
        <v>29</v>
      </c>
      <c r="J22" s="18" t="s">
        <v>30</v>
      </c>
      <c r="K22" s="18" t="s">
        <v>31</v>
      </c>
      <c r="L22" s="18" t="s">
        <v>32</v>
      </c>
    </row>
    <row r="23" spans="7:15" x14ac:dyDescent="0.3">
      <c r="G23" s="13" t="s">
        <v>24</v>
      </c>
      <c r="H23" s="13">
        <v>3</v>
      </c>
      <c r="I23" s="13">
        <v>75185961.171122074</v>
      </c>
      <c r="J23" s="13">
        <v>25061987.057040691</v>
      </c>
      <c r="K23" s="13">
        <v>1.223068088966613</v>
      </c>
      <c r="L23" s="13">
        <v>0.4362273746252382</v>
      </c>
    </row>
    <row r="24" spans="7:15" x14ac:dyDescent="0.3">
      <c r="G24" s="13" t="s">
        <v>25</v>
      </c>
      <c r="H24" s="13">
        <v>3</v>
      </c>
      <c r="I24" s="13">
        <v>61473242.454267383</v>
      </c>
      <c r="J24" s="13">
        <v>20491080.818089128</v>
      </c>
      <c r="K24" s="13"/>
      <c r="L24" s="13"/>
    </row>
    <row r="25" spans="7:15" x14ac:dyDescent="0.3">
      <c r="G25" s="13" t="s">
        <v>26</v>
      </c>
      <c r="H25" s="13">
        <v>6</v>
      </c>
      <c r="I25" s="13">
        <v>136659203.62538946</v>
      </c>
      <c r="J25" s="13"/>
      <c r="K25" s="13"/>
      <c r="L25" s="13"/>
    </row>
    <row r="27" spans="7:15" x14ac:dyDescent="0.3">
      <c r="G27" s="18"/>
      <c r="H27" s="18" t="s">
        <v>33</v>
      </c>
      <c r="I27" s="18" t="s">
        <v>14</v>
      </c>
      <c r="J27" s="18" t="s">
        <v>34</v>
      </c>
      <c r="K27" s="18" t="s">
        <v>35</v>
      </c>
      <c r="L27" s="18" t="s">
        <v>36</v>
      </c>
      <c r="M27" s="18" t="s">
        <v>37</v>
      </c>
      <c r="N27" s="18" t="s">
        <v>38</v>
      </c>
      <c r="O27" s="18" t="s">
        <v>39</v>
      </c>
    </row>
    <row r="28" spans="7:15" x14ac:dyDescent="0.3">
      <c r="G28" s="13" t="s">
        <v>27</v>
      </c>
      <c r="H28" s="13">
        <v>-9889.3269182063941</v>
      </c>
      <c r="I28" s="13">
        <v>17209.45285563522</v>
      </c>
      <c r="J28" s="13">
        <v>-0.57464505124973475</v>
      </c>
      <c r="K28" s="13">
        <v>0.60579359413602329</v>
      </c>
      <c r="L28" s="13">
        <v>-64657.486574576877</v>
      </c>
      <c r="M28" s="13">
        <v>44878.832738164085</v>
      </c>
      <c r="N28" s="13">
        <v>-64657.486574576877</v>
      </c>
      <c r="O28" s="13">
        <v>44878.832738164085</v>
      </c>
    </row>
    <row r="29" spans="7:15" x14ac:dyDescent="0.3">
      <c r="G29" s="13" t="s">
        <v>4</v>
      </c>
      <c r="H29" s="13">
        <v>51773.932497870563</v>
      </c>
      <c r="I29" s="13">
        <v>39256.629333673583</v>
      </c>
      <c r="J29" s="13">
        <v>1.3188583272853709</v>
      </c>
      <c r="K29" s="13">
        <v>0.27885430186746074</v>
      </c>
      <c r="L29" s="13">
        <v>-73158.182482970995</v>
      </c>
      <c r="M29" s="13">
        <v>176706.04747871213</v>
      </c>
      <c r="N29" s="13">
        <v>-73158.182482970995</v>
      </c>
      <c r="O29" s="13">
        <v>176706.04747871213</v>
      </c>
    </row>
    <row r="30" spans="7:15" x14ac:dyDescent="0.3">
      <c r="G30" s="13" t="s">
        <v>5</v>
      </c>
      <c r="H30" s="13">
        <v>2402.328409845537</v>
      </c>
      <c r="I30" s="13">
        <v>1789.8985905917541</v>
      </c>
      <c r="J30" s="13">
        <v>1.3421589482627108</v>
      </c>
      <c r="K30" s="13">
        <v>0.27207965392443734</v>
      </c>
      <c r="L30" s="13">
        <v>-3293.9277466157091</v>
      </c>
      <c r="M30" s="13">
        <v>8098.584566306783</v>
      </c>
      <c r="N30" s="13">
        <v>-3293.9277466157091</v>
      </c>
      <c r="O30" s="13">
        <v>8098.584566306783</v>
      </c>
    </row>
    <row r="31" spans="7:15" x14ac:dyDescent="0.3">
      <c r="G31" s="13" t="s">
        <v>6</v>
      </c>
      <c r="H31" s="13">
        <v>183415.57001436694</v>
      </c>
      <c r="I31" s="13">
        <v>202333.75841462257</v>
      </c>
      <c r="J31" s="13">
        <v>0.90650008901881585</v>
      </c>
      <c r="K31" s="13">
        <v>0.43149760351692512</v>
      </c>
      <c r="L31" s="13">
        <v>-460500.75188641524</v>
      </c>
      <c r="M31" s="13">
        <v>827331.89191514906</v>
      </c>
      <c r="N31" s="13">
        <v>-460500.75188641524</v>
      </c>
      <c r="O31" s="13">
        <v>827331.89191514906</v>
      </c>
    </row>
  </sheetData>
  <mergeCells count="1">
    <mergeCell ref="G21:L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Descriptive Stats</vt:lpstr>
      <vt:lpstr>Trend Analysis</vt:lpstr>
      <vt:lpstr>Correlation</vt:lpstr>
      <vt:lpstr>Regression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Arudra Pavani</dc:creator>
  <cp:lastModifiedBy>Arudra Pavani</cp:lastModifiedBy>
  <dcterms:created xsi:type="dcterms:W3CDTF">2026-01-09T06:00:01Z</dcterms:created>
  <dcterms:modified xsi:type="dcterms:W3CDTF">2026-01-09T08:14:21Z</dcterms:modified>
</cp:coreProperties>
</file>