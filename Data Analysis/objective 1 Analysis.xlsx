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d9ed6819226a3/Desktop/MAJOR PROJECT/Analysis ^0 Conclusions/"/>
    </mc:Choice>
  </mc:AlternateContent>
  <xr:revisionPtr revIDLastSave="293" documentId="8_{771FA945-7654-4767-9697-8A9DAD6FF65D}" xr6:coauthVersionLast="47" xr6:coauthVersionMax="47" xr10:uidLastSave="{91712E53-21D0-4F79-B914-47F46388C48F}"/>
  <bookViews>
    <workbookView xWindow="1500" yWindow="1500" windowWidth="17280" windowHeight="9960" firstSheet="1" activeTab="1" xr2:uid="{50A892BB-7EB6-4054-B978-1D44F4F94142}"/>
  </bookViews>
  <sheets>
    <sheet name="Sheet1" sheetId="1" r:id="rId1"/>
    <sheet name="Trend Analysis" sheetId="6" r:id="rId2"/>
    <sheet name="Descritive Stats &amp; Comparitive " sheetId="3" r:id="rId3"/>
    <sheet name="Event Based Analysis" sheetId="5" r:id="rId4"/>
    <sheet name="T-Te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4" i="5" l="1"/>
  <c r="A105" i="5"/>
  <c r="A106" i="5"/>
  <c r="A107" i="5"/>
  <c r="A108" i="5"/>
  <c r="A109" i="5"/>
  <c r="A103" i="5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9" i="4"/>
  <c r="K39" i="4"/>
  <c r="J40" i="4"/>
  <c r="K40" i="4"/>
  <c r="J41" i="4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33" i="4"/>
  <c r="K33" i="4"/>
  <c r="J58" i="4"/>
  <c r="K58" i="4"/>
  <c r="J81" i="4"/>
  <c r="K81" i="4"/>
  <c r="J82" i="4"/>
  <c r="K82" i="4"/>
  <c r="J83" i="4"/>
  <c r="K83" i="4"/>
  <c r="J84" i="4"/>
  <c r="K84" i="4"/>
  <c r="J85" i="4"/>
  <c r="K85" i="4"/>
  <c r="J86" i="4"/>
  <c r="K86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33" i="4"/>
  <c r="I58" i="4"/>
  <c r="I81" i="4"/>
  <c r="I82" i="4"/>
  <c r="I83" i="4"/>
  <c r="I84" i="4"/>
  <c r="I85" i="4"/>
  <c r="I86" i="4"/>
  <c r="F3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57" i="4"/>
  <c r="H57" i="4"/>
  <c r="G58" i="4"/>
  <c r="H58" i="4"/>
  <c r="G59" i="4"/>
  <c r="H59" i="4"/>
  <c r="G60" i="4"/>
  <c r="H6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57" i="4"/>
  <c r="F58" i="4"/>
  <c r="F59" i="4"/>
  <c r="F6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M12" i="3" l="1"/>
  <c r="L12" i="3"/>
  <c r="M11" i="3"/>
  <c r="L11" i="3"/>
  <c r="M10" i="3"/>
  <c r="L10" i="3"/>
  <c r="M6" i="3"/>
  <c r="M5" i="3"/>
  <c r="M4" i="3"/>
  <c r="L6" i="3"/>
  <c r="L5" i="3"/>
  <c r="L4" i="3"/>
  <c r="M3" i="3"/>
  <c r="L3" i="3"/>
  <c r="H4" i="3" s="1"/>
  <c r="H66" i="3" l="1"/>
  <c r="H46" i="3"/>
  <c r="H26" i="3"/>
  <c r="H65" i="3"/>
  <c r="H45" i="3"/>
  <c r="H25" i="3"/>
  <c r="H64" i="3"/>
  <c r="H24" i="3"/>
  <c r="H43" i="3"/>
  <c r="H82" i="3"/>
  <c r="H42" i="3"/>
  <c r="H81" i="3"/>
  <c r="H41" i="3"/>
  <c r="H80" i="3"/>
  <c r="H40" i="3"/>
  <c r="H79" i="3"/>
  <c r="H35" i="3"/>
  <c r="H78" i="3"/>
  <c r="H34" i="3"/>
  <c r="H77" i="3"/>
  <c r="H33" i="3"/>
  <c r="H76" i="3"/>
  <c r="H10" i="3"/>
  <c r="H63" i="3"/>
  <c r="H44" i="3"/>
  <c r="H83" i="3"/>
  <c r="H19" i="3"/>
  <c r="H62" i="3"/>
  <c r="H18" i="3"/>
  <c r="H61" i="3"/>
  <c r="H17" i="3"/>
  <c r="H60" i="3"/>
  <c r="H16" i="3"/>
  <c r="H59" i="3"/>
  <c r="H15" i="3"/>
  <c r="H58" i="3"/>
  <c r="H14" i="3"/>
  <c r="H57" i="3"/>
  <c r="H13" i="3"/>
  <c r="H56" i="3"/>
  <c r="H32" i="3"/>
  <c r="H12" i="3"/>
  <c r="H75" i="3"/>
  <c r="H51" i="3"/>
  <c r="H31" i="3"/>
  <c r="H11" i="3"/>
  <c r="H74" i="3"/>
  <c r="H50" i="3"/>
  <c r="H30" i="3"/>
  <c r="H73" i="3"/>
  <c r="H49" i="3"/>
  <c r="H29" i="3"/>
  <c r="H9" i="3"/>
  <c r="H72" i="3"/>
  <c r="H48" i="3"/>
  <c r="H28" i="3"/>
  <c r="H8" i="3"/>
  <c r="H67" i="3"/>
  <c r="H47" i="3"/>
  <c r="H27" i="3"/>
  <c r="H3" i="3"/>
  <c r="H71" i="3"/>
  <c r="H55" i="3"/>
  <c r="H39" i="3"/>
  <c r="H23" i="3"/>
  <c r="H7" i="3"/>
  <c r="H2" i="3"/>
  <c r="H70" i="3"/>
  <c r="H54" i="3"/>
  <c r="H38" i="3"/>
  <c r="H22" i="3"/>
  <c r="H6" i="3"/>
  <c r="H85" i="3"/>
  <c r="H69" i="3"/>
  <c r="H53" i="3"/>
  <c r="H37" i="3"/>
  <c r="H21" i="3"/>
  <c r="H5" i="3"/>
  <c r="H84" i="3"/>
  <c r="H68" i="3"/>
  <c r="H52" i="3"/>
  <c r="H36" i="3"/>
  <c r="H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PAVANI</author>
  </authors>
  <commentList>
    <comment ref="H1" authorId="0" shapeId="0" xr:uid="{B8327EE3-A604-4EAC-B258-0DD8B45A78E0}">
      <text>
        <r>
          <rPr>
            <b/>
            <sz val="9"/>
            <color indexed="81"/>
            <rFont val="Tahoma"/>
            <family val="2"/>
          </rPr>
          <t>Uncertainity - 1
Normal - 0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PAVANI</author>
  </authors>
  <commentList>
    <comment ref="I1" authorId="0" shapeId="0" xr:uid="{BF3E4926-202D-4D58-B339-4C2A74EBA477}">
      <text>
        <r>
          <rPr>
            <b/>
            <sz val="9"/>
            <color indexed="81"/>
            <rFont val="Tahoma"/>
            <family val="2"/>
          </rPr>
          <t>Uncertainity - 1
Normal - 0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PAVANI</author>
  </authors>
  <commentList>
    <comment ref="D1" authorId="0" shapeId="0" xr:uid="{3B1E2929-BBBF-47B5-9B82-4A49C2354288}">
      <text>
        <r>
          <rPr>
            <b/>
            <sz val="9"/>
            <color indexed="81"/>
            <rFont val="Tahoma"/>
            <family val="2"/>
          </rPr>
          <t>Uncertainity - 1
Normal - 0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<sst xmlns="http://schemas.openxmlformats.org/spreadsheetml/2006/main" count="156" uniqueCount="56">
  <si>
    <t>Indian Stock Market Behaviour from 2018 to 2024</t>
  </si>
  <si>
    <t>Month</t>
  </si>
  <si>
    <t>BSE Close Value</t>
  </si>
  <si>
    <t>NSE Close Value</t>
  </si>
  <si>
    <t>India VIX</t>
  </si>
  <si>
    <t>Net FII Investments in Crores</t>
  </si>
  <si>
    <t>Net DII Investments in Crores</t>
  </si>
  <si>
    <t>Market Turnover</t>
  </si>
  <si>
    <t>Events :</t>
  </si>
  <si>
    <t>Event</t>
  </si>
  <si>
    <t>NBFC Crisis</t>
  </si>
  <si>
    <t>Volatile/Uncertain</t>
  </si>
  <si>
    <t>COVID Crash</t>
  </si>
  <si>
    <t>Post-COVID Recovery</t>
  </si>
  <si>
    <t>Inflation Shock</t>
  </si>
  <si>
    <t>Recovery, TowardsStable</t>
  </si>
  <si>
    <t>Stable Market</t>
  </si>
  <si>
    <t>FII</t>
  </si>
  <si>
    <t>DII</t>
  </si>
  <si>
    <t xml:space="preserve">BSE </t>
  </si>
  <si>
    <t xml:space="preserve">NSE </t>
  </si>
  <si>
    <t>Uncertain Periods</t>
  </si>
  <si>
    <t>Average</t>
  </si>
  <si>
    <t>Standard Deviation</t>
  </si>
  <si>
    <t xml:space="preserve"> VIX</t>
  </si>
  <si>
    <t xml:space="preserve"> FII</t>
  </si>
  <si>
    <t xml:space="preserve"> DII</t>
  </si>
  <si>
    <t xml:space="preserve"> Market Turnover</t>
  </si>
  <si>
    <t>Metrics</t>
  </si>
  <si>
    <t>Descriptive Stats</t>
  </si>
  <si>
    <t>Comparitive Analysis</t>
  </si>
  <si>
    <t>Normal</t>
  </si>
  <si>
    <t>Uncertainity</t>
  </si>
  <si>
    <t>Uncertain</t>
  </si>
  <si>
    <t xml:space="preserve">Normal 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</si>
  <si>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</si>
  <si>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</si>
  <si>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</si>
  <si>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</si>
  <si>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</si>
  <si>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</si>
  <si>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</si>
  <si>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</si>
  <si>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</si>
  <si>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</si>
  <si>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</si>
  <si>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Metric</t>
  </si>
  <si>
    <t>t-Test</t>
  </si>
  <si>
    <t>Sep-2018</t>
  </si>
  <si>
    <t>Mar-2019</t>
  </si>
  <si>
    <t>Mar-2020</t>
  </si>
  <si>
    <t>Mar-2021</t>
  </si>
  <si>
    <t>Jun-2022</t>
  </si>
  <si>
    <t>Mar-2023</t>
  </si>
  <si>
    <t>Mar-2024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</si>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</sst>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4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1" fillId="0" borderId="0" xfId="0" applyFont="1"/>
    <xf numFmtId="17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16" fontId="0" fillId="0" borderId="1" xfId="0" applyNumberFormat="1" applyBorder="1"/>
    <xf numFmtId="0" fontId="0" fillId="0" borderId="3" xfId="0" applyBorder="1"/>
    <xf numFmtId="0" fontId="7" fillId="0" borderId="4" xfId="0" applyFont="1" applyBorder="1" applyAlignment="1">
      <alignment horizontal="center"/>
    </xf>
    <xf numFmtId="17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9" xfId="0" applyNumberFormat="1" applyBorder="1"/>
    <xf numFmtId="1" fontId="0" fillId="0" borderId="10" xfId="0" applyNumberFormat="1" applyBorder="1"/>
    <xf numFmtId="0" fontId="0" fillId="0" borderId="10" xfId="0" applyBorder="1"/>
    <xf numFmtId="0" fontId="0" fillId="0" borderId="11" xfId="0" applyBorder="1"/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4C187E4-B688-4D4E-A314-68FA70548E5E}"/>
  </tableStyles>
  <colors>
    <mruColors>
      <color rgb="FFFF9933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</c:f>
              <c:strCache>
                <c:ptCount val="1"/>
                <c:pt idx="0">
                  <c:v>India VIX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Analysis'!$D$2:$D$85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'Trend Analysis'!$A$2:$A$85</c:f>
              <c:numCache>
                <c:formatCode>0</c:formatCode>
                <c:ptCount val="84"/>
                <c:pt idx="0">
                  <c:v>14.73363636</c:v>
                </c:pt>
                <c:pt idx="1">
                  <c:v>16.292894740000001</c:v>
                </c:pt>
                <c:pt idx="2">
                  <c:v>15.11684211</c:v>
                </c:pt>
                <c:pt idx="3">
                  <c:v>13.912023810000001</c:v>
                </c:pt>
                <c:pt idx="4">
                  <c:v>13.57659091</c:v>
                </c:pt>
                <c:pt idx="5">
                  <c:v>12.82</c:v>
                </c:pt>
                <c:pt idx="6">
                  <c:v>12.73079545</c:v>
                </c:pt>
                <c:pt idx="7">
                  <c:v>12.717380950000001</c:v>
                </c:pt>
                <c:pt idx="8">
                  <c:v>15.03486111</c:v>
                </c:pt>
                <c:pt idx="9">
                  <c:v>19.152619049999998</c:v>
                </c:pt>
                <c:pt idx="10">
                  <c:v>18.829000000000001</c:v>
                </c:pt>
                <c:pt idx="11">
                  <c:v>16.531500000000001</c:v>
                </c:pt>
                <c:pt idx="12">
                  <c:v>16.737065220000002</c:v>
                </c:pt>
                <c:pt idx="13">
                  <c:v>16.404</c:v>
                </c:pt>
                <c:pt idx="14">
                  <c:v>15.989605259999999</c:v>
                </c:pt>
                <c:pt idx="15">
                  <c:v>21.075263159999999</c:v>
                </c:pt>
                <c:pt idx="16">
                  <c:v>23.216249999999999</c:v>
                </c:pt>
                <c:pt idx="17">
                  <c:v>14.75210526</c:v>
                </c:pt>
                <c:pt idx="18">
                  <c:v>12.985217390000001</c:v>
                </c:pt>
                <c:pt idx="19">
                  <c:v>16.486000000000001</c:v>
                </c:pt>
                <c:pt idx="20">
                  <c:v>16.02</c:v>
                </c:pt>
                <c:pt idx="21">
                  <c:v>16.684000000000001</c:v>
                </c:pt>
                <c:pt idx="22">
                  <c:v>15.316125</c:v>
                </c:pt>
                <c:pt idx="23">
                  <c:v>12.836547619999999</c:v>
                </c:pt>
                <c:pt idx="24">
                  <c:v>14.942826086956501</c:v>
                </c:pt>
                <c:pt idx="25">
                  <c:v>15.359874999999999</c:v>
                </c:pt>
                <c:pt idx="26">
                  <c:v>53.063571428571429</c:v>
                </c:pt>
                <c:pt idx="27">
                  <c:v>45.003749999999997</c:v>
                </c:pt>
                <c:pt idx="28">
                  <c:v>36.982105263157905</c:v>
                </c:pt>
                <c:pt idx="29">
                  <c:v>30.23761363636363</c:v>
                </c:pt>
                <c:pt idx="30">
                  <c:v>25.184347826086952</c:v>
                </c:pt>
                <c:pt idx="31">
                  <c:v>21.210714285714285</c:v>
                </c:pt>
                <c:pt idx="32">
                  <c:v>21.078977272727272</c:v>
                </c:pt>
                <c:pt idx="33">
                  <c:v>21.5825</c:v>
                </c:pt>
                <c:pt idx="34">
                  <c:v>21.011000000000003</c:v>
                </c:pt>
                <c:pt idx="35">
                  <c:v>19.771363636363638</c:v>
                </c:pt>
                <c:pt idx="36">
                  <c:v>25.34</c:v>
                </c:pt>
                <c:pt idx="37">
                  <c:v>28.14</c:v>
                </c:pt>
                <c:pt idx="38">
                  <c:v>20.65</c:v>
                </c:pt>
                <c:pt idx="39">
                  <c:v>23.03</c:v>
                </c:pt>
                <c:pt idx="40">
                  <c:v>17.399999999999999</c:v>
                </c:pt>
                <c:pt idx="41">
                  <c:v>13.05</c:v>
                </c:pt>
                <c:pt idx="42">
                  <c:v>12.8</c:v>
                </c:pt>
                <c:pt idx="43">
                  <c:v>14.52</c:v>
                </c:pt>
                <c:pt idx="44">
                  <c:v>18.399999999999999</c:v>
                </c:pt>
                <c:pt idx="45">
                  <c:v>17.43</c:v>
                </c:pt>
                <c:pt idx="46">
                  <c:v>21.17</c:v>
                </c:pt>
                <c:pt idx="47">
                  <c:v>16.22</c:v>
                </c:pt>
                <c:pt idx="48">
                  <c:v>18.409624999999998</c:v>
                </c:pt>
                <c:pt idx="49">
                  <c:v>22.075250000000004</c:v>
                </c:pt>
                <c:pt idx="50">
                  <c:v>25.079761904761909</c:v>
                </c:pt>
                <c:pt idx="51">
                  <c:v>18.87263157894737</c:v>
                </c:pt>
                <c:pt idx="52">
                  <c:v>22.608690476190482</c:v>
                </c:pt>
                <c:pt idx="53">
                  <c:v>21.128409090909091</c:v>
                </c:pt>
                <c:pt idx="54">
                  <c:v>18.308690476190478</c:v>
                </c:pt>
                <c:pt idx="55">
                  <c:v>18.565624999999997</c:v>
                </c:pt>
                <c:pt idx="56">
                  <c:v>19.554318181818179</c:v>
                </c:pt>
                <c:pt idx="57">
                  <c:v>18.336447368421059</c:v>
                </c:pt>
                <c:pt idx="58">
                  <c:v>14.774047619047618</c:v>
                </c:pt>
                <c:pt idx="59">
                  <c:v>14.225681818181817</c:v>
                </c:pt>
                <c:pt idx="60">
                  <c:v>15.008333333333335</c:v>
                </c:pt>
                <c:pt idx="61">
                  <c:v>14.060124999999999</c:v>
                </c:pt>
                <c:pt idx="62">
                  <c:v>14.35464285714286</c:v>
                </c:pt>
                <c:pt idx="63">
                  <c:v>11.911617647058824</c:v>
                </c:pt>
                <c:pt idx="64">
                  <c:v>12.540113636363635</c:v>
                </c:pt>
                <c:pt idx="65">
                  <c:v>11.180476190476192</c:v>
                </c:pt>
                <c:pt idx="66">
                  <c:v>11.182500000000001</c:v>
                </c:pt>
                <c:pt idx="67">
                  <c:v>11.63693181818182</c:v>
                </c:pt>
                <c:pt idx="68">
                  <c:v>11.197125</c:v>
                </c:pt>
                <c:pt idx="69">
                  <c:v>11.109249999999999</c:v>
                </c:pt>
                <c:pt idx="70">
                  <c:v>11.573214285714286</c:v>
                </c:pt>
                <c:pt idx="71">
                  <c:v>13.512874999999999</c:v>
                </c:pt>
                <c:pt idx="72">
                  <c:v>14.090454545454547</c:v>
                </c:pt>
                <c:pt idx="73">
                  <c:v>15.547857142857143</c:v>
                </c:pt>
                <c:pt idx="74">
                  <c:v>13.688333333333334</c:v>
                </c:pt>
                <c:pt idx="75">
                  <c:v>11.739000000000001</c:v>
                </c:pt>
                <c:pt idx="76">
                  <c:v>20.159772727272728</c:v>
                </c:pt>
                <c:pt idx="77">
                  <c:v>15.562368421052632</c:v>
                </c:pt>
                <c:pt idx="78">
                  <c:v>13.540454545454542</c:v>
                </c:pt>
                <c:pt idx="79">
                  <c:v>14.900833333333335</c:v>
                </c:pt>
                <c:pt idx="80">
                  <c:v>13.286547619047621</c:v>
                </c:pt>
                <c:pt idx="81">
                  <c:v>13.932386363636363</c:v>
                </c:pt>
                <c:pt idx="82">
                  <c:v>15.254736842105265</c:v>
                </c:pt>
                <c:pt idx="83">
                  <c:v>14.020714285714288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5-4B49-8F60-1985CACAF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076031"/>
        <c:axId val="1428076991"/>
      </c:lineChart>
      <c:dateAx>
        <c:axId val="1428076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76991"/>
        <c:crosses val="autoZero"/>
        <c:auto val="1"/>
        <c:lblOffset val="100"/>
        <c:baseTimeUnit val="months"/>
        <c:majorUnit val="6"/>
        <c:majorTimeUnit val="months"/>
      </c:dateAx>
      <c:valAx>
        <c:axId val="1428076991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7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Analysis'!$B$1</c:f>
              <c:strCache>
                <c:ptCount val="1"/>
                <c:pt idx="0">
                  <c:v>FII</c:v>
                </c:pt>
              </c:strCache>
            </c:strRef>
          </c:tx>
          <c:spPr>
            <a:ln w="22225" cap="rnd">
              <a:solidFill>
                <a:schemeClr val="accent4">
                  <a:lumMod val="75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Analysis'!$D$2:$D$85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'Trend Analysis'!$B$2:$B$85</c:f>
              <c:numCache>
                <c:formatCode>General</c:formatCode>
                <c:ptCount val="84"/>
                <c:pt idx="0">
                  <c:v>-1103.3699999999999</c:v>
                </c:pt>
                <c:pt idx="1">
                  <c:v>4934.1099999999997</c:v>
                </c:pt>
                <c:pt idx="2">
                  <c:v>-29201.200000000001</c:v>
                </c:pt>
                <c:pt idx="3">
                  <c:v>-9468.68</c:v>
                </c:pt>
                <c:pt idx="4">
                  <c:v>-2228.5300000000002</c:v>
                </c:pt>
                <c:pt idx="5">
                  <c:v>-2768.75</c:v>
                </c:pt>
                <c:pt idx="6">
                  <c:v>-10249.17</c:v>
                </c:pt>
                <c:pt idx="7">
                  <c:v>-12359.71</c:v>
                </c:pt>
                <c:pt idx="8">
                  <c:v>-9620.56</c:v>
                </c:pt>
                <c:pt idx="9">
                  <c:v>7904.85</c:v>
                </c:pt>
                <c:pt idx="10">
                  <c:v>-18619.150000000001</c:v>
                </c:pt>
                <c:pt idx="11">
                  <c:v>9568</c:v>
                </c:pt>
                <c:pt idx="12">
                  <c:v>127.67</c:v>
                </c:pt>
                <c:pt idx="13">
                  <c:v>13564.57</c:v>
                </c:pt>
                <c:pt idx="14">
                  <c:v>32371.43</c:v>
                </c:pt>
                <c:pt idx="15">
                  <c:v>12749.55</c:v>
                </c:pt>
                <c:pt idx="16">
                  <c:v>-2135.85</c:v>
                </c:pt>
                <c:pt idx="17">
                  <c:v>-688.5</c:v>
                </c:pt>
                <c:pt idx="18">
                  <c:v>-16870.13</c:v>
                </c:pt>
                <c:pt idx="19">
                  <c:v>-14828.76</c:v>
                </c:pt>
                <c:pt idx="20">
                  <c:v>-6624.05</c:v>
                </c:pt>
                <c:pt idx="21">
                  <c:v>8595.66</c:v>
                </c:pt>
                <c:pt idx="22">
                  <c:v>12924.93</c:v>
                </c:pt>
                <c:pt idx="23">
                  <c:v>694.12</c:v>
                </c:pt>
                <c:pt idx="24">
                  <c:v>-5359.51</c:v>
                </c:pt>
                <c:pt idx="25">
                  <c:v>-12684.3</c:v>
                </c:pt>
                <c:pt idx="26">
                  <c:v>-65816.7</c:v>
                </c:pt>
                <c:pt idx="27">
                  <c:v>-5208.5</c:v>
                </c:pt>
                <c:pt idx="28">
                  <c:v>13914.49</c:v>
                </c:pt>
                <c:pt idx="29">
                  <c:v>5492.95</c:v>
                </c:pt>
                <c:pt idx="30">
                  <c:v>2490.19</c:v>
                </c:pt>
                <c:pt idx="31">
                  <c:v>15749.86</c:v>
                </c:pt>
                <c:pt idx="32">
                  <c:v>-11410.69</c:v>
                </c:pt>
                <c:pt idx="33">
                  <c:v>14537.4</c:v>
                </c:pt>
                <c:pt idx="34">
                  <c:v>65317.13</c:v>
                </c:pt>
                <c:pt idx="35">
                  <c:v>48223.94</c:v>
                </c:pt>
                <c:pt idx="36">
                  <c:v>8980.81</c:v>
                </c:pt>
                <c:pt idx="37">
                  <c:v>42044.46</c:v>
                </c:pt>
                <c:pt idx="38">
                  <c:v>1245.22</c:v>
                </c:pt>
                <c:pt idx="39">
                  <c:v>-12039.43</c:v>
                </c:pt>
                <c:pt idx="40">
                  <c:v>-6015.34</c:v>
                </c:pt>
                <c:pt idx="41">
                  <c:v>-25.89</c:v>
                </c:pt>
                <c:pt idx="42">
                  <c:v>-23193.39</c:v>
                </c:pt>
                <c:pt idx="43">
                  <c:v>-2568.52</c:v>
                </c:pt>
                <c:pt idx="44">
                  <c:v>913.77</c:v>
                </c:pt>
                <c:pt idx="45">
                  <c:v>-25572.19</c:v>
                </c:pt>
                <c:pt idx="46">
                  <c:v>-39901.919999999998</c:v>
                </c:pt>
                <c:pt idx="47">
                  <c:v>-35493.589999999997</c:v>
                </c:pt>
                <c:pt idx="48">
                  <c:v>-41346.35</c:v>
                </c:pt>
                <c:pt idx="49">
                  <c:v>-45720.07</c:v>
                </c:pt>
                <c:pt idx="50">
                  <c:v>-43281.31</c:v>
                </c:pt>
                <c:pt idx="51">
                  <c:v>-40652.71</c:v>
                </c:pt>
                <c:pt idx="52">
                  <c:v>-54292.47</c:v>
                </c:pt>
                <c:pt idx="53">
                  <c:v>-58112.37</c:v>
                </c:pt>
                <c:pt idx="54">
                  <c:v>-6567.71</c:v>
                </c:pt>
                <c:pt idx="55">
                  <c:v>22025.62</c:v>
                </c:pt>
                <c:pt idx="56">
                  <c:v>-18308.3</c:v>
                </c:pt>
                <c:pt idx="57">
                  <c:v>-489.06</c:v>
                </c:pt>
                <c:pt idx="58">
                  <c:v>22546.34</c:v>
                </c:pt>
                <c:pt idx="59">
                  <c:v>-14231.09</c:v>
                </c:pt>
                <c:pt idx="60">
                  <c:v>-41464.730000000003</c:v>
                </c:pt>
                <c:pt idx="61">
                  <c:v>-11090.64</c:v>
                </c:pt>
                <c:pt idx="62">
                  <c:v>1997.7</c:v>
                </c:pt>
                <c:pt idx="63">
                  <c:v>5711.8</c:v>
                </c:pt>
                <c:pt idx="64">
                  <c:v>27856.48</c:v>
                </c:pt>
                <c:pt idx="65">
                  <c:v>27250.01</c:v>
                </c:pt>
                <c:pt idx="66">
                  <c:v>13922.01</c:v>
                </c:pt>
                <c:pt idx="67">
                  <c:v>-20620.650000000001</c:v>
                </c:pt>
                <c:pt idx="68">
                  <c:v>-26692.16</c:v>
                </c:pt>
                <c:pt idx="69">
                  <c:v>-29056.61</c:v>
                </c:pt>
                <c:pt idx="70">
                  <c:v>3901.82</c:v>
                </c:pt>
                <c:pt idx="71">
                  <c:v>31959.78</c:v>
                </c:pt>
                <c:pt idx="72">
                  <c:v>-35977.870000000003</c:v>
                </c:pt>
                <c:pt idx="73">
                  <c:v>-15962.72</c:v>
                </c:pt>
                <c:pt idx="74">
                  <c:v>3314.47</c:v>
                </c:pt>
                <c:pt idx="75">
                  <c:v>-35692.19</c:v>
                </c:pt>
                <c:pt idx="76">
                  <c:v>-42214.28</c:v>
                </c:pt>
                <c:pt idx="77">
                  <c:v>2037.47</c:v>
                </c:pt>
                <c:pt idx="78">
                  <c:v>5407.83</c:v>
                </c:pt>
                <c:pt idx="79">
                  <c:v>-20339.259999999998</c:v>
                </c:pt>
                <c:pt idx="80">
                  <c:v>12611.79</c:v>
                </c:pt>
                <c:pt idx="81">
                  <c:v>-114445.89</c:v>
                </c:pt>
                <c:pt idx="82">
                  <c:v>-45974.12</c:v>
                </c:pt>
                <c:pt idx="83">
                  <c:v>-16982.48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E-48C5-A501-E80317167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022431"/>
        <c:axId val="1528023871"/>
      </c:lineChart>
      <c:dateAx>
        <c:axId val="15280224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3871"/>
        <c:crosses val="autoZero"/>
        <c:auto val="1"/>
        <c:lblOffset val="100"/>
        <c:baseTimeUnit val="months"/>
        <c:majorUnit val="6"/>
        <c:majorTimeUnit val="months"/>
      </c:dateAx>
      <c:valAx>
        <c:axId val="1528023871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2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Analysis'!$C$1</c:f>
              <c:strCache>
                <c:ptCount val="1"/>
                <c:pt idx="0">
                  <c:v>DII</c:v>
                </c:pt>
              </c:strCache>
            </c:strRef>
          </c:tx>
          <c:spPr>
            <a:ln w="22225" cap="rnd">
              <a:solidFill>
                <a:srgbClr val="FF9933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Analysis'!$D$2:$D$85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'Trend Analysis'!$C$2:$C$85</c:f>
              <c:numCache>
                <c:formatCode>General</c:formatCode>
                <c:ptCount val="84"/>
                <c:pt idx="0">
                  <c:v>375.55</c:v>
                </c:pt>
                <c:pt idx="1">
                  <c:v>1309.47</c:v>
                </c:pt>
                <c:pt idx="2">
                  <c:v>26033.9</c:v>
                </c:pt>
                <c:pt idx="3">
                  <c:v>12504.04</c:v>
                </c:pt>
                <c:pt idx="4">
                  <c:v>2822.72</c:v>
                </c:pt>
                <c:pt idx="5">
                  <c:v>3845.87</c:v>
                </c:pt>
                <c:pt idx="6">
                  <c:v>14146.15</c:v>
                </c:pt>
                <c:pt idx="7">
                  <c:v>15054.48</c:v>
                </c:pt>
                <c:pt idx="8">
                  <c:v>8663.8799999999992</c:v>
                </c:pt>
                <c:pt idx="9">
                  <c:v>6693.91</c:v>
                </c:pt>
                <c:pt idx="10">
                  <c:v>17813.009999999998</c:v>
                </c:pt>
                <c:pt idx="11">
                  <c:v>398.73</c:v>
                </c:pt>
                <c:pt idx="12">
                  <c:v>2146.8000000000002</c:v>
                </c:pt>
                <c:pt idx="13">
                  <c:v>-565.89</c:v>
                </c:pt>
                <c:pt idx="14">
                  <c:v>-13930.25</c:v>
                </c:pt>
                <c:pt idx="15">
                  <c:v>-4219.46</c:v>
                </c:pt>
                <c:pt idx="16">
                  <c:v>5316.34</c:v>
                </c:pt>
                <c:pt idx="17">
                  <c:v>3643.31</c:v>
                </c:pt>
                <c:pt idx="18">
                  <c:v>20394.52</c:v>
                </c:pt>
                <c:pt idx="19">
                  <c:v>20933.59</c:v>
                </c:pt>
                <c:pt idx="20">
                  <c:v>12490.81</c:v>
                </c:pt>
                <c:pt idx="21">
                  <c:v>4758.4799999999996</c:v>
                </c:pt>
                <c:pt idx="22">
                  <c:v>-7970.29</c:v>
                </c:pt>
                <c:pt idx="23">
                  <c:v>-740.76</c:v>
                </c:pt>
                <c:pt idx="24">
                  <c:v>1073.49</c:v>
                </c:pt>
                <c:pt idx="25">
                  <c:v>16933.03</c:v>
                </c:pt>
                <c:pt idx="26">
                  <c:v>55595.18</c:v>
                </c:pt>
                <c:pt idx="27">
                  <c:v>-117</c:v>
                </c:pt>
                <c:pt idx="28">
                  <c:v>12293.19</c:v>
                </c:pt>
                <c:pt idx="29">
                  <c:v>2434.4</c:v>
                </c:pt>
                <c:pt idx="30">
                  <c:v>-10007.879999999999</c:v>
                </c:pt>
                <c:pt idx="31">
                  <c:v>-11046.78</c:v>
                </c:pt>
                <c:pt idx="32">
                  <c:v>110.3</c:v>
                </c:pt>
                <c:pt idx="33">
                  <c:v>-17318.439999999999</c:v>
                </c:pt>
                <c:pt idx="34">
                  <c:v>-48319.17</c:v>
                </c:pt>
                <c:pt idx="35">
                  <c:v>-37293.53</c:v>
                </c:pt>
                <c:pt idx="36">
                  <c:v>-11970.54</c:v>
                </c:pt>
                <c:pt idx="37">
                  <c:v>-16358.1</c:v>
                </c:pt>
                <c:pt idx="38">
                  <c:v>5204.42</c:v>
                </c:pt>
                <c:pt idx="39">
                  <c:v>11359.88</c:v>
                </c:pt>
                <c:pt idx="40">
                  <c:v>2067.23</c:v>
                </c:pt>
                <c:pt idx="41">
                  <c:v>7043.51</c:v>
                </c:pt>
                <c:pt idx="42">
                  <c:v>18393.919999999998</c:v>
                </c:pt>
                <c:pt idx="43">
                  <c:v>6894.69</c:v>
                </c:pt>
                <c:pt idx="44">
                  <c:v>5948.85</c:v>
                </c:pt>
                <c:pt idx="45">
                  <c:v>4470.99</c:v>
                </c:pt>
                <c:pt idx="46">
                  <c:v>30560.27</c:v>
                </c:pt>
                <c:pt idx="47">
                  <c:v>31231.05</c:v>
                </c:pt>
                <c:pt idx="48">
                  <c:v>21928.400000000001</c:v>
                </c:pt>
                <c:pt idx="49">
                  <c:v>42084.07</c:v>
                </c:pt>
                <c:pt idx="50">
                  <c:v>39677.03</c:v>
                </c:pt>
                <c:pt idx="51">
                  <c:v>29869.52</c:v>
                </c:pt>
                <c:pt idx="52">
                  <c:v>50835.54</c:v>
                </c:pt>
                <c:pt idx="53">
                  <c:v>46599.23</c:v>
                </c:pt>
                <c:pt idx="54">
                  <c:v>10546.02</c:v>
                </c:pt>
                <c:pt idx="55">
                  <c:v>-7068.63</c:v>
                </c:pt>
                <c:pt idx="56">
                  <c:v>14119.75</c:v>
                </c:pt>
                <c:pt idx="57">
                  <c:v>9276.9699999999993</c:v>
                </c:pt>
                <c:pt idx="58">
                  <c:v>-6301.32</c:v>
                </c:pt>
                <c:pt idx="59">
                  <c:v>24159.13</c:v>
                </c:pt>
                <c:pt idx="60">
                  <c:v>33411.85</c:v>
                </c:pt>
                <c:pt idx="61">
                  <c:v>19239.28</c:v>
                </c:pt>
                <c:pt idx="62">
                  <c:v>30548.77</c:v>
                </c:pt>
                <c:pt idx="63">
                  <c:v>2216.5700000000002</c:v>
                </c:pt>
                <c:pt idx="64">
                  <c:v>-3306.35</c:v>
                </c:pt>
                <c:pt idx="65">
                  <c:v>4458.2299999999996</c:v>
                </c:pt>
                <c:pt idx="66">
                  <c:v>-1184.33</c:v>
                </c:pt>
                <c:pt idx="67">
                  <c:v>25016.95</c:v>
                </c:pt>
                <c:pt idx="68">
                  <c:v>20312.650000000001</c:v>
                </c:pt>
                <c:pt idx="69">
                  <c:v>25105.86</c:v>
                </c:pt>
                <c:pt idx="70">
                  <c:v>12720.36</c:v>
                </c:pt>
                <c:pt idx="71">
                  <c:v>12942.25</c:v>
                </c:pt>
                <c:pt idx="72">
                  <c:v>26743.63</c:v>
                </c:pt>
                <c:pt idx="73">
                  <c:v>25379.3</c:v>
                </c:pt>
                <c:pt idx="74">
                  <c:v>56311.6</c:v>
                </c:pt>
                <c:pt idx="75">
                  <c:v>44186.28</c:v>
                </c:pt>
                <c:pt idx="76">
                  <c:v>55733.04</c:v>
                </c:pt>
                <c:pt idx="77">
                  <c:v>28633.15</c:v>
                </c:pt>
                <c:pt idx="78">
                  <c:v>23486.02</c:v>
                </c:pt>
                <c:pt idx="79">
                  <c:v>50174.86</c:v>
                </c:pt>
                <c:pt idx="80">
                  <c:v>30857.3</c:v>
                </c:pt>
                <c:pt idx="81">
                  <c:v>107254.68</c:v>
                </c:pt>
                <c:pt idx="82">
                  <c:v>44483.86</c:v>
                </c:pt>
                <c:pt idx="83">
                  <c:v>34194.730000000003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8-44C8-BF19-401FB3CBA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412143"/>
        <c:axId val="1526413103"/>
      </c:lineChart>
      <c:dateAx>
        <c:axId val="1526412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413103"/>
        <c:crosses val="autoZero"/>
        <c:auto val="1"/>
        <c:lblOffset val="100"/>
        <c:baseTimeUnit val="months"/>
        <c:majorUnit val="6"/>
        <c:majorTimeUnit val="months"/>
      </c:dateAx>
      <c:valAx>
        <c:axId val="1526413103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41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Analysis'!$E$1</c:f>
              <c:strCache>
                <c:ptCount val="1"/>
                <c:pt idx="0">
                  <c:v>Market Turnover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Analysis'!$D$2:$D$85</c:f>
              <c:numCache>
                <c:formatCode>mmm\-yy</c:formatCode>
                <c:ptCount val="8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</c:numCache>
            </c:numRef>
          </c:cat>
          <c:val>
            <c:numRef>
              <c:f>'Trend Analysis'!$E$2:$E$85</c:f>
              <c:numCache>
                <c:formatCode>0</c:formatCode>
                <c:ptCount val="84"/>
                <c:pt idx="0">
                  <c:v>16947159.460000001</c:v>
                </c:pt>
                <c:pt idx="1">
                  <c:v>16748057.109999999</c:v>
                </c:pt>
                <c:pt idx="2">
                  <c:v>18130032.670000002</c:v>
                </c:pt>
                <c:pt idx="3">
                  <c:v>16333294.869999999</c:v>
                </c:pt>
                <c:pt idx="4">
                  <c:v>19905195.239999998</c:v>
                </c:pt>
                <c:pt idx="5">
                  <c:v>19266500.129999999</c:v>
                </c:pt>
                <c:pt idx="6">
                  <c:v>19385123.010000002</c:v>
                </c:pt>
                <c:pt idx="7">
                  <c:v>20078179.969999999</c:v>
                </c:pt>
                <c:pt idx="8">
                  <c:v>23209438.420000002</c:v>
                </c:pt>
                <c:pt idx="9">
                  <c:v>23245250.670000002</c:v>
                </c:pt>
                <c:pt idx="10">
                  <c:v>18386201.91</c:v>
                </c:pt>
                <c:pt idx="11">
                  <c:v>19833818.77</c:v>
                </c:pt>
                <c:pt idx="12">
                  <c:v>22832961.710000001</c:v>
                </c:pt>
                <c:pt idx="13">
                  <c:v>19686714.039999999</c:v>
                </c:pt>
                <c:pt idx="14">
                  <c:v>22581719.859999999</c:v>
                </c:pt>
                <c:pt idx="15">
                  <c:v>23270669.890000001</c:v>
                </c:pt>
                <c:pt idx="16">
                  <c:v>26392563.16</c:v>
                </c:pt>
                <c:pt idx="17">
                  <c:v>25671934.32</c:v>
                </c:pt>
                <c:pt idx="18">
                  <c:v>29343844.609999999</c:v>
                </c:pt>
                <c:pt idx="19">
                  <c:v>31206432.350000001</c:v>
                </c:pt>
                <c:pt idx="20">
                  <c:v>28574702.170000002</c:v>
                </c:pt>
                <c:pt idx="21">
                  <c:v>29027816.850000001</c:v>
                </c:pt>
                <c:pt idx="22">
                  <c:v>27369064.940000001</c:v>
                </c:pt>
                <c:pt idx="23">
                  <c:v>28247951.379999999</c:v>
                </c:pt>
                <c:pt idx="24">
                  <c:v>35288275.579999998</c:v>
                </c:pt>
                <c:pt idx="25">
                  <c:v>35763137.170000002</c:v>
                </c:pt>
                <c:pt idx="26">
                  <c:v>23968171.75</c:v>
                </c:pt>
                <c:pt idx="27">
                  <c:v>18943089.440000001</c:v>
                </c:pt>
                <c:pt idx="28">
                  <c:v>25386221.010000002</c:v>
                </c:pt>
                <c:pt idx="29">
                  <c:v>30252399.550000001</c:v>
                </c:pt>
                <c:pt idx="30">
                  <c:v>38103634.630000003</c:v>
                </c:pt>
                <c:pt idx="31">
                  <c:v>38639563.450000003</c:v>
                </c:pt>
                <c:pt idx="32">
                  <c:v>51492601.049999997</c:v>
                </c:pt>
                <c:pt idx="33">
                  <c:v>60358608.049999997</c:v>
                </c:pt>
                <c:pt idx="34">
                  <c:v>58450590.560000002</c:v>
                </c:pt>
                <c:pt idx="35">
                  <c:v>68715461.040000007</c:v>
                </c:pt>
                <c:pt idx="36">
                  <c:v>78425626.959999993</c:v>
                </c:pt>
                <c:pt idx="37">
                  <c:v>93663167.159999996</c:v>
                </c:pt>
                <c:pt idx="38">
                  <c:v>97975987.430000007</c:v>
                </c:pt>
                <c:pt idx="39">
                  <c:v>93312391.849999994</c:v>
                </c:pt>
                <c:pt idx="40">
                  <c:v>94927122.959999993</c:v>
                </c:pt>
                <c:pt idx="41">
                  <c:v>96692147.459999993</c:v>
                </c:pt>
                <c:pt idx="42">
                  <c:v>115889993.06</c:v>
                </c:pt>
                <c:pt idx="43">
                  <c:v>110250209.65000001</c:v>
                </c:pt>
                <c:pt idx="44">
                  <c:v>149224890.37</c:v>
                </c:pt>
                <c:pt idx="45">
                  <c:v>141511127.25999999</c:v>
                </c:pt>
                <c:pt idx="46">
                  <c:v>152973110.56999999</c:v>
                </c:pt>
                <c:pt idx="47">
                  <c:v>181018353.25</c:v>
                </c:pt>
                <c:pt idx="48">
                  <c:v>175254530.56999999</c:v>
                </c:pt>
                <c:pt idx="49">
                  <c:v>200557773.19</c:v>
                </c:pt>
                <c:pt idx="50">
                  <c:v>187008999.80000001</c:v>
                </c:pt>
                <c:pt idx="51">
                  <c:v>192502411.69999999</c:v>
                </c:pt>
                <c:pt idx="52">
                  <c:v>212279576.15000001</c:v>
                </c:pt>
                <c:pt idx="53">
                  <c:v>219486616.02000001</c:v>
                </c:pt>
                <c:pt idx="54">
                  <c:v>235717204.52000001</c:v>
                </c:pt>
                <c:pt idx="55">
                  <c:v>274756997.57999998</c:v>
                </c:pt>
                <c:pt idx="56">
                  <c:v>251445700.28999999</c:v>
                </c:pt>
                <c:pt idx="57">
                  <c:v>4486480.13</c:v>
                </c:pt>
                <c:pt idx="58">
                  <c:v>5379960.6699999999</c:v>
                </c:pt>
                <c:pt idx="59">
                  <c:v>5071989.45</c:v>
                </c:pt>
                <c:pt idx="60">
                  <c:v>2213003.34</c:v>
                </c:pt>
                <c:pt idx="61">
                  <c:v>2772619.51</c:v>
                </c:pt>
                <c:pt idx="62">
                  <c:v>2525378.0499999998</c:v>
                </c:pt>
                <c:pt idx="63">
                  <c:v>1894750.71</c:v>
                </c:pt>
                <c:pt idx="64">
                  <c:v>2806373.28</c:v>
                </c:pt>
                <c:pt idx="65">
                  <c:v>18041131.579999998</c:v>
                </c:pt>
                <c:pt idx="66">
                  <c:v>33809147.869999997</c:v>
                </c:pt>
                <c:pt idx="67">
                  <c:v>33222913.82</c:v>
                </c:pt>
                <c:pt idx="68">
                  <c:v>55738808.399999999</c:v>
                </c:pt>
                <c:pt idx="69">
                  <c:v>68991523.209999993</c:v>
                </c:pt>
                <c:pt idx="70">
                  <c:v>82489771.099999994</c:v>
                </c:pt>
                <c:pt idx="71">
                  <c:v>149197173.91999999</c:v>
                </c:pt>
                <c:pt idx="72">
                  <c:v>89100210.560000002</c:v>
                </c:pt>
                <c:pt idx="73">
                  <c:v>4622422.66</c:v>
                </c:pt>
                <c:pt idx="74">
                  <c:v>3455293.12</c:v>
                </c:pt>
                <c:pt idx="75">
                  <c:v>27572193.82</c:v>
                </c:pt>
                <c:pt idx="76">
                  <c:v>23363722.800000001</c:v>
                </c:pt>
                <c:pt idx="77">
                  <c:v>5176311.97</c:v>
                </c:pt>
                <c:pt idx="78">
                  <c:v>4991692.1500000004</c:v>
                </c:pt>
                <c:pt idx="79">
                  <c:v>21888498.129999999</c:v>
                </c:pt>
                <c:pt idx="80">
                  <c:v>8384974.8499999996</c:v>
                </c:pt>
                <c:pt idx="81">
                  <c:v>8361146.3700000001</c:v>
                </c:pt>
                <c:pt idx="82">
                  <c:v>6605889.7000000002</c:v>
                </c:pt>
                <c:pt idx="83">
                  <c:v>6918280.5099999998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D-4EB7-9879-9370BB472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74479"/>
        <c:axId val="1466172559"/>
      </c:lineChart>
      <c:dateAx>
        <c:axId val="14661744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72559"/>
        <c:crosses val="autoZero"/>
        <c:auto val="1"/>
        <c:lblOffset val="100"/>
        <c:baseTimeUnit val="months"/>
        <c:majorUnit val="6"/>
        <c:majorTimeUnit val="months"/>
      </c:dateAx>
      <c:valAx>
        <c:axId val="1466172559"/>
        <c:scaling>
          <c:orientation val="minMax"/>
        </c:scaling>
        <c:delete val="0"/>
        <c:axPos val="l"/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7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512618</xdr:colOff>
      <xdr:row>0</xdr:row>
      <xdr:rowOff>0</xdr:rowOff>
    </xdr:from>
    <xdr:to>
      <xdr:col>21</xdr:col>
      <xdr:colOff>320040</xdr:colOff>
      <xdr:row>21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1C56C6-808A-4DC1-BAC3-644D47C5B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526472</xdr:colOff>
      <xdr:row>21</xdr:row>
      <xdr:rowOff>125729</xdr:rowOff>
    </xdr:from>
    <xdr:to>
      <xdr:col>21</xdr:col>
      <xdr:colOff>320039</xdr:colOff>
      <xdr:row>45</xdr:row>
      <xdr:rowOff>69272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4A6AC8-55A8-D269-474C-C80872DB9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300189</xdr:colOff>
      <xdr:row>0</xdr:row>
      <xdr:rowOff>11545</xdr:rowOff>
    </xdr:from>
    <xdr:to>
      <xdr:col>35</xdr:col>
      <xdr:colOff>0</xdr:colOff>
      <xdr:row>21</xdr:row>
      <xdr:rowOff>115454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C9853B-B9EE-4585-893F-9CFC4EB32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311728</xdr:colOff>
      <xdr:row>21</xdr:row>
      <xdr:rowOff>103909</xdr:rowOff>
    </xdr:from>
    <xdr:to>
      <xdr:col>35</xdr:col>
      <xdr:colOff>11545</xdr:colOff>
      <xdr:row>45</xdr:row>
      <xdr:rowOff>69273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15C24A-D7C4-4650-B2BC-9FC50B33C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20377-29C3-4156-8AC5-C3DFF3007C20}" name="Table1" displayName="Table1" ref="B1:I85" totalsRowShown="0" headerRowDxfId="11" headerRowBorderDxfId="10" tableBorderDxfId="9" totalsRowBorderDxfId="8">
  <autoFilter ref="B1:I85" xr:uid="{36920377-29C3-4156-8AC5-C3DFF3007C20}"/>
  <tableColumns count="8">
    <tableColumn id="1" xr3:uid="{FADE4A7A-FBD2-4D7B-954B-CB3200F3C033}" name="Month" dataDxfId="7"/>
    <tableColumn id="2" xr3:uid="{02CD9682-0777-4EA3-9140-266C43C35F41}" name="BSE " dataDxfId="6"/>
    <tableColumn id="3" xr3:uid="{9B144D5B-8129-4C1C-9811-BD90E4A96580}" name="NSE " dataDxfId="5"/>
    <tableColumn id="4" xr3:uid="{A07293C7-6CFD-474A-ABD2-350AD1A8548D}" name="India VIX" dataDxfId="4"/>
    <tableColumn id="5" xr3:uid="{B79F4D95-B1AB-47C3-8364-BD8D2B02C96B}" name="FII" dataDxfId="3"/>
    <tableColumn id="6" xr3:uid="{383F2683-2BB6-4D55-96B9-5BBC90476919}" name="DII" dataDxfId="2"/>
    <tableColumn id="7" xr3:uid="{69B930CD-4F4C-46BA-B80F-4B4F12D1F225}" name="Market Turnover" dataDxfId="1"/>
    <tableColumn id="8" xr3:uid="{BB489DC5-A1DF-4089-8F2A-E6FA8383A361}" name="Uncertain Perio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CD73-E2E9-485E-BE02-5B861457F6BD}">
  <dimension ref="A1:L90"/>
  <sheetViews>
    <sheetView topLeftCell="D59" workbookViewId="0">
      <selection activeCell="D6" sqref="D6:G90"/>
    </sheetView>
  </sheetViews>
  <sheetFormatPr defaultRowHeight="14.4" x14ac:dyDescent="0.3"/>
  <cols>
    <col min="1" max="1" width="12.109375" customWidth="1"/>
    <col min="2" max="2" width="17.88671875" customWidth="1"/>
    <col min="3" max="3" width="16.21875" customWidth="1"/>
    <col min="4" max="4" width="12" customWidth="1"/>
    <col min="5" max="5" width="31.109375" customWidth="1"/>
    <col min="6" max="6" width="31.5546875" customWidth="1"/>
    <col min="7" max="7" width="20.109375" customWidth="1"/>
    <col min="11" max="11" width="11.88671875" customWidth="1"/>
    <col min="12" max="12" width="24.5546875" customWidth="1"/>
  </cols>
  <sheetData>
    <row r="1" spans="1:12" x14ac:dyDescent="0.3">
      <c r="A1" s="22" t="s">
        <v>0</v>
      </c>
      <c r="B1" s="22"/>
      <c r="C1" s="22"/>
      <c r="D1" s="22"/>
      <c r="E1" s="22"/>
      <c r="F1" s="22"/>
      <c r="G1" s="22"/>
    </row>
    <row r="2" spans="1:12" x14ac:dyDescent="0.3">
      <c r="A2" s="22"/>
      <c r="B2" s="22"/>
      <c r="C2" s="22"/>
      <c r="D2" s="22"/>
      <c r="E2" s="22"/>
      <c r="F2" s="22"/>
      <c r="G2" s="22"/>
    </row>
    <row r="3" spans="1:12" x14ac:dyDescent="0.3">
      <c r="A3" s="22"/>
      <c r="B3" s="22"/>
      <c r="C3" s="22"/>
      <c r="D3" s="22"/>
      <c r="E3" s="22"/>
      <c r="F3" s="22"/>
      <c r="G3" s="22"/>
    </row>
    <row r="6" spans="1:12" ht="15.6" x14ac:dyDescent="0.3">
      <c r="A6" s="1" t="s">
        <v>1</v>
      </c>
      <c r="B6" s="1" t="s">
        <v>2</v>
      </c>
      <c r="C6" s="2" t="s">
        <v>3</v>
      </c>
      <c r="D6" s="3" t="s">
        <v>4</v>
      </c>
      <c r="E6" s="1" t="s">
        <v>5</v>
      </c>
      <c r="F6" s="1" t="s">
        <v>6</v>
      </c>
      <c r="G6" s="4" t="s">
        <v>7</v>
      </c>
      <c r="K6" s="5" t="s">
        <v>8</v>
      </c>
    </row>
    <row r="7" spans="1:12" x14ac:dyDescent="0.3">
      <c r="A7" s="6">
        <v>43101</v>
      </c>
      <c r="B7" s="7">
        <v>11506.88</v>
      </c>
      <c r="C7" s="7">
        <v>10771.154545454547</v>
      </c>
      <c r="D7" s="7">
        <v>14.73363636</v>
      </c>
      <c r="E7" s="8">
        <v>-1103.3699999999999</v>
      </c>
      <c r="F7" s="8">
        <v>375.55</v>
      </c>
      <c r="G7" s="7">
        <v>16947159.460000001</v>
      </c>
      <c r="K7" s="3" t="s">
        <v>1</v>
      </c>
      <c r="L7" s="3" t="s">
        <v>9</v>
      </c>
    </row>
    <row r="8" spans="1:12" x14ac:dyDescent="0.3">
      <c r="A8" s="6">
        <v>43132</v>
      </c>
      <c r="B8" s="7">
        <v>10959.52</v>
      </c>
      <c r="C8" s="7">
        <v>10533.105263157895</v>
      </c>
      <c r="D8" s="7">
        <v>16.292894740000001</v>
      </c>
      <c r="E8" s="8">
        <v>4934.1099999999997</v>
      </c>
      <c r="F8" s="8">
        <v>1309.47</v>
      </c>
      <c r="G8" s="7">
        <v>16748057.109999999</v>
      </c>
      <c r="K8" s="9">
        <v>45918</v>
      </c>
      <c r="L8" s="8" t="s">
        <v>10</v>
      </c>
    </row>
    <row r="9" spans="1:12" x14ac:dyDescent="0.3">
      <c r="A9" s="6">
        <v>43160</v>
      </c>
      <c r="B9" s="7">
        <v>10591.7</v>
      </c>
      <c r="C9" s="7">
        <v>10232.61842105263</v>
      </c>
      <c r="D9" s="7">
        <v>15.11684211</v>
      </c>
      <c r="E9" s="8">
        <v>-29201.200000000001</v>
      </c>
      <c r="F9" s="8">
        <v>26033.9</v>
      </c>
      <c r="G9" s="7">
        <v>18130032.670000002</v>
      </c>
      <c r="K9" s="9">
        <v>45735</v>
      </c>
      <c r="L9" s="8" t="s">
        <v>11</v>
      </c>
    </row>
    <row r="10" spans="1:12" x14ac:dyDescent="0.3">
      <c r="A10" s="6">
        <v>43191</v>
      </c>
      <c r="B10" s="7">
        <v>11244.63</v>
      </c>
      <c r="C10" s="7">
        <v>10472.933333333331</v>
      </c>
      <c r="D10" s="7">
        <v>13.912023810000001</v>
      </c>
      <c r="E10" s="8">
        <v>-9468.68</v>
      </c>
      <c r="F10" s="8">
        <v>12504.04</v>
      </c>
      <c r="G10" s="7">
        <v>16333294.869999999</v>
      </c>
      <c r="K10" s="9">
        <v>45736</v>
      </c>
      <c r="L10" s="8" t="s">
        <v>12</v>
      </c>
    </row>
    <row r="11" spans="1:12" x14ac:dyDescent="0.3">
      <c r="A11" s="6">
        <v>43221</v>
      </c>
      <c r="B11" s="7">
        <v>11227.57</v>
      </c>
      <c r="C11" s="7">
        <v>10664.447727272729</v>
      </c>
      <c r="D11" s="7">
        <v>13.57659091</v>
      </c>
      <c r="E11" s="8">
        <v>-2228.5300000000002</v>
      </c>
      <c r="F11" s="8">
        <v>2822.72</v>
      </c>
      <c r="G11" s="7">
        <v>19905195.239999998</v>
      </c>
      <c r="K11" s="9">
        <v>45737</v>
      </c>
      <c r="L11" s="8" t="s">
        <v>13</v>
      </c>
    </row>
    <row r="12" spans="1:12" x14ac:dyDescent="0.3">
      <c r="A12" s="6">
        <v>43252</v>
      </c>
      <c r="B12" s="7">
        <v>11224.18</v>
      </c>
      <c r="C12" s="7">
        <v>10742.97380952381</v>
      </c>
      <c r="D12" s="7">
        <v>12.82</v>
      </c>
      <c r="E12" s="8">
        <v>-2768.75</v>
      </c>
      <c r="F12" s="8">
        <v>3845.87</v>
      </c>
      <c r="G12" s="7">
        <v>19266500.129999999</v>
      </c>
      <c r="K12" s="9">
        <v>45830</v>
      </c>
      <c r="L12" s="8" t="s">
        <v>14</v>
      </c>
    </row>
    <row r="13" spans="1:12" x14ac:dyDescent="0.3">
      <c r="A13" s="6">
        <v>43282</v>
      </c>
      <c r="B13" s="7">
        <v>11882.71</v>
      </c>
      <c r="C13" s="7">
        <v>10991.156818181817</v>
      </c>
      <c r="D13" s="7">
        <v>12.73079545</v>
      </c>
      <c r="E13" s="8">
        <v>-10249.17</v>
      </c>
      <c r="F13" s="8">
        <v>14146.15</v>
      </c>
      <c r="G13" s="7">
        <v>19385123.010000002</v>
      </c>
      <c r="K13" s="9">
        <v>45739</v>
      </c>
      <c r="L13" s="8" t="s">
        <v>15</v>
      </c>
    </row>
    <row r="14" spans="1:12" x14ac:dyDescent="0.3">
      <c r="A14" s="6">
        <v>43313</v>
      </c>
      <c r="B14" s="7">
        <v>12230.81</v>
      </c>
      <c r="C14" s="7">
        <v>11498.440476190477</v>
      </c>
      <c r="D14" s="7">
        <v>12.717380950000001</v>
      </c>
      <c r="E14" s="8">
        <v>-12359.71</v>
      </c>
      <c r="F14" s="8">
        <v>15054.48</v>
      </c>
      <c r="G14" s="7">
        <v>20078179.969999999</v>
      </c>
      <c r="K14" s="9">
        <v>45740</v>
      </c>
      <c r="L14" s="8" t="s">
        <v>16</v>
      </c>
    </row>
    <row r="15" spans="1:12" x14ac:dyDescent="0.3">
      <c r="A15" s="6">
        <v>43344</v>
      </c>
      <c r="B15" s="7">
        <v>11418.76</v>
      </c>
      <c r="C15" s="7">
        <v>11297.058333333332</v>
      </c>
      <c r="D15" s="7">
        <v>15.03486111</v>
      </c>
      <c r="E15" s="8">
        <v>-9620.56</v>
      </c>
      <c r="F15" s="8">
        <v>8663.8799999999992</v>
      </c>
      <c r="G15" s="7">
        <v>23209438.420000002</v>
      </c>
    </row>
    <row r="16" spans="1:12" x14ac:dyDescent="0.3">
      <c r="A16" s="6">
        <v>43374</v>
      </c>
      <c r="B16" s="7">
        <v>10871.49</v>
      </c>
      <c r="C16" s="7">
        <v>10383.809523809523</v>
      </c>
      <c r="D16" s="7">
        <v>19.152619049999998</v>
      </c>
      <c r="E16" s="8">
        <v>7904.85</v>
      </c>
      <c r="F16" s="8">
        <v>6693.91</v>
      </c>
      <c r="G16" s="7">
        <v>23245250.670000002</v>
      </c>
    </row>
    <row r="17" spans="1:7" x14ac:dyDescent="0.3">
      <c r="A17" s="6">
        <v>43405</v>
      </c>
      <c r="B17" s="7">
        <v>11364.07</v>
      </c>
      <c r="C17" s="7">
        <v>10621.7925</v>
      </c>
      <c r="D17" s="7">
        <v>18.829000000000001</v>
      </c>
      <c r="E17" s="8">
        <v>-18619.150000000001</v>
      </c>
      <c r="F17" s="8">
        <v>17813.009999999998</v>
      </c>
      <c r="G17" s="7">
        <v>18386201.91</v>
      </c>
    </row>
    <row r="18" spans="1:7" x14ac:dyDescent="0.3">
      <c r="A18" s="6">
        <v>43435</v>
      </c>
      <c r="B18" s="7">
        <v>11367.43</v>
      </c>
      <c r="C18" s="7">
        <v>10778.442499999999</v>
      </c>
      <c r="D18" s="7">
        <v>16.531500000000001</v>
      </c>
      <c r="E18" s="8">
        <v>9568</v>
      </c>
      <c r="F18" s="8">
        <v>398.73</v>
      </c>
      <c r="G18" s="7">
        <v>19833818.77</v>
      </c>
    </row>
    <row r="19" spans="1:7" x14ac:dyDescent="0.3">
      <c r="A19" s="6">
        <v>43466</v>
      </c>
      <c r="B19" s="7">
        <v>11326.58</v>
      </c>
      <c r="C19" s="7">
        <v>10808.486363636364</v>
      </c>
      <c r="D19" s="7">
        <v>16.737065220000002</v>
      </c>
      <c r="E19" s="8">
        <v>127.67</v>
      </c>
      <c r="F19" s="8">
        <v>2146.8000000000002</v>
      </c>
      <c r="G19" s="7">
        <v>22832961.710000001</v>
      </c>
    </row>
    <row r="20" spans="1:7" x14ac:dyDescent="0.3">
      <c r="A20" s="6">
        <v>43497</v>
      </c>
      <c r="B20" s="7">
        <v>11262.85</v>
      </c>
      <c r="C20" s="7">
        <v>10835.762500000001</v>
      </c>
      <c r="D20" s="7">
        <v>16.404</v>
      </c>
      <c r="E20" s="8">
        <v>13564.57</v>
      </c>
      <c r="F20" s="8">
        <v>-565.89</v>
      </c>
      <c r="G20" s="7">
        <v>19686714.039999999</v>
      </c>
    </row>
    <row r="21" spans="1:7" x14ac:dyDescent="0.3">
      <c r="A21" s="6">
        <v>43525</v>
      </c>
      <c r="B21" s="7">
        <v>12090.72</v>
      </c>
      <c r="C21" s="7">
        <v>11273.484210526314</v>
      </c>
      <c r="D21" s="7">
        <v>15.989605259999999</v>
      </c>
      <c r="E21" s="8">
        <v>32371.43</v>
      </c>
      <c r="F21" s="8">
        <v>-13930.25</v>
      </c>
      <c r="G21" s="7">
        <v>22581719.859999999</v>
      </c>
    </row>
    <row r="22" spans="1:7" x14ac:dyDescent="0.3">
      <c r="A22" s="6">
        <v>43556</v>
      </c>
      <c r="B22" s="7">
        <v>12230.27</v>
      </c>
      <c r="C22" s="7">
        <v>11659.913157894736</v>
      </c>
      <c r="D22" s="7">
        <v>21.075263159999999</v>
      </c>
      <c r="E22" s="8">
        <v>12749.55</v>
      </c>
      <c r="F22" s="8">
        <v>-4219.46</v>
      </c>
      <c r="G22" s="7">
        <v>23270669.890000001</v>
      </c>
    </row>
    <row r="23" spans="1:7" x14ac:dyDescent="0.3">
      <c r="A23" s="6">
        <v>43586</v>
      </c>
      <c r="B23" s="7">
        <v>12416.37</v>
      </c>
      <c r="C23" s="7">
        <v>11584.084090909089</v>
      </c>
      <c r="D23" s="7">
        <v>23.216249999999999</v>
      </c>
      <c r="E23" s="8">
        <v>-2135.85</v>
      </c>
      <c r="F23" s="8">
        <v>5316.34</v>
      </c>
      <c r="G23" s="7">
        <v>26392563.16</v>
      </c>
    </row>
    <row r="24" spans="1:7" x14ac:dyDescent="0.3">
      <c r="A24" s="6">
        <v>43617</v>
      </c>
      <c r="B24" s="7">
        <v>12293.47</v>
      </c>
      <c r="C24" s="7">
        <v>11846.073684210527</v>
      </c>
      <c r="D24" s="7">
        <v>14.75210526</v>
      </c>
      <c r="E24" s="8">
        <v>-688.5</v>
      </c>
      <c r="F24" s="8">
        <v>3643.31</v>
      </c>
      <c r="G24" s="7">
        <v>25671934.32</v>
      </c>
    </row>
    <row r="25" spans="1:7" x14ac:dyDescent="0.3">
      <c r="A25" s="6">
        <v>43647</v>
      </c>
      <c r="B25" s="7">
        <v>11602.65</v>
      </c>
      <c r="C25" s="7">
        <v>11552.278260869563</v>
      </c>
      <c r="D25" s="7">
        <v>12.985217390000001</v>
      </c>
      <c r="E25" s="8">
        <v>-16870.13</v>
      </c>
      <c r="F25" s="8">
        <v>20394.52</v>
      </c>
      <c r="G25" s="7">
        <v>29343844.609999999</v>
      </c>
    </row>
    <row r="26" spans="1:7" x14ac:dyDescent="0.3">
      <c r="A26" s="6">
        <v>43678</v>
      </c>
      <c r="B26" s="7">
        <v>11528.28</v>
      </c>
      <c r="C26" s="7">
        <v>10981.237500000001</v>
      </c>
      <c r="D26" s="7">
        <v>16.486000000000001</v>
      </c>
      <c r="E26" s="8">
        <v>-14828.76</v>
      </c>
      <c r="F26" s="8">
        <v>20933.59</v>
      </c>
      <c r="G26" s="7">
        <v>31206432.350000001</v>
      </c>
    </row>
    <row r="27" spans="1:7" x14ac:dyDescent="0.3">
      <c r="A27" s="6">
        <v>43709</v>
      </c>
      <c r="B27" s="7">
        <v>11986.23</v>
      </c>
      <c r="C27" s="7">
        <v>11100.542105263161</v>
      </c>
      <c r="D27" s="7">
        <v>16.02</v>
      </c>
      <c r="E27" s="8">
        <v>-6624.05</v>
      </c>
      <c r="F27" s="8">
        <v>12490.81</v>
      </c>
      <c r="G27" s="7">
        <v>28574702.170000002</v>
      </c>
    </row>
    <row r="28" spans="1:7" x14ac:dyDescent="0.3">
      <c r="A28" s="6">
        <v>43739</v>
      </c>
      <c r="B28" s="7">
        <v>12439.27</v>
      </c>
      <c r="C28" s="7">
        <v>11470.055000000002</v>
      </c>
      <c r="D28" s="7">
        <v>16.684000000000001</v>
      </c>
      <c r="E28" s="8">
        <v>8595.66</v>
      </c>
      <c r="F28" s="8">
        <v>4758.4799999999996</v>
      </c>
      <c r="G28" s="7">
        <v>29027816.850000001</v>
      </c>
    </row>
    <row r="29" spans="1:7" x14ac:dyDescent="0.3">
      <c r="A29" s="6">
        <v>43770</v>
      </c>
      <c r="B29" s="7">
        <v>12605.82</v>
      </c>
      <c r="C29" s="7">
        <v>11955.202500000001</v>
      </c>
      <c r="D29" s="7">
        <v>15.316125</v>
      </c>
      <c r="E29" s="8">
        <v>12924.93</v>
      </c>
      <c r="F29" s="8">
        <v>-7970.29</v>
      </c>
      <c r="G29" s="7">
        <v>27369064.940000001</v>
      </c>
    </row>
    <row r="30" spans="1:7" x14ac:dyDescent="0.3">
      <c r="A30" s="6">
        <v>43800</v>
      </c>
      <c r="B30" s="7">
        <v>12736.31</v>
      </c>
      <c r="C30" s="7">
        <v>12091.528571428571</v>
      </c>
      <c r="D30" s="7">
        <v>12.836547619999999</v>
      </c>
      <c r="E30" s="8">
        <v>694.12</v>
      </c>
      <c r="F30" s="8">
        <v>-740.76</v>
      </c>
      <c r="G30" s="7">
        <v>28247951.379999999</v>
      </c>
    </row>
    <row r="31" spans="1:7" x14ac:dyDescent="0.3">
      <c r="A31" s="6">
        <v>43831</v>
      </c>
      <c r="B31" s="7">
        <v>12533.2</v>
      </c>
      <c r="C31" s="7">
        <v>12183.065217391302</v>
      </c>
      <c r="D31" s="7">
        <v>14.942826086956501</v>
      </c>
      <c r="E31" s="8">
        <v>-5359.51</v>
      </c>
      <c r="F31" s="8">
        <v>1073.49</v>
      </c>
      <c r="G31" s="7">
        <v>35288275.579999998</v>
      </c>
    </row>
    <row r="32" spans="1:7" x14ac:dyDescent="0.3">
      <c r="A32" s="6">
        <v>43862</v>
      </c>
      <c r="B32" s="7">
        <v>11728.36</v>
      </c>
      <c r="C32" s="7">
        <v>11934.472499999998</v>
      </c>
      <c r="D32" s="7">
        <v>15.359874999999999</v>
      </c>
      <c r="E32" s="8">
        <v>-12684.3</v>
      </c>
      <c r="F32" s="8">
        <v>16933.03</v>
      </c>
      <c r="G32" s="7">
        <v>35763137.170000002</v>
      </c>
    </row>
    <row r="33" spans="1:7" x14ac:dyDescent="0.3">
      <c r="A33" s="6">
        <v>43891</v>
      </c>
      <c r="B33" s="7">
        <v>9000.99</v>
      </c>
      <c r="C33" s="7">
        <v>9426.3119047619057</v>
      </c>
      <c r="D33" s="7">
        <v>53.063571428571429</v>
      </c>
      <c r="E33" s="8">
        <v>-65816.7</v>
      </c>
      <c r="F33" s="8">
        <v>55595.18</v>
      </c>
      <c r="G33" s="7">
        <v>23968171.75</v>
      </c>
    </row>
    <row r="34" spans="1:7" x14ac:dyDescent="0.3">
      <c r="A34" s="6">
        <v>43922</v>
      </c>
      <c r="B34" s="7">
        <v>10326.33</v>
      </c>
      <c r="C34" s="7">
        <v>9063.5833333333339</v>
      </c>
      <c r="D34" s="7">
        <v>45.003749999999997</v>
      </c>
      <c r="E34" s="8">
        <v>-5208.5</v>
      </c>
      <c r="F34" s="8">
        <v>-117</v>
      </c>
      <c r="G34" s="7">
        <v>18943089.440000001</v>
      </c>
    </row>
    <row r="35" spans="1:7" x14ac:dyDescent="0.3">
      <c r="A35" s="6">
        <v>43952</v>
      </c>
      <c r="B35" s="7">
        <v>10013.16</v>
      </c>
      <c r="C35" s="7">
        <v>9192.0131578947385</v>
      </c>
      <c r="D35" s="7">
        <v>36.982105263157905</v>
      </c>
      <c r="E35" s="8">
        <v>13914.49</v>
      </c>
      <c r="F35" s="8">
        <v>12293.19</v>
      </c>
      <c r="G35" s="7">
        <v>25386221.010000002</v>
      </c>
    </row>
    <row r="36" spans="1:7" x14ac:dyDescent="0.3">
      <c r="A36" s="6">
        <v>43983</v>
      </c>
      <c r="B36" s="7">
        <v>10768.19</v>
      </c>
      <c r="C36" s="7">
        <v>10116.454545454544</v>
      </c>
      <c r="D36" s="7">
        <v>30.23761363636363</v>
      </c>
      <c r="E36" s="8">
        <v>5492.95</v>
      </c>
      <c r="F36" s="8">
        <v>2434.4</v>
      </c>
      <c r="G36" s="7">
        <v>30252399.550000001</v>
      </c>
    </row>
    <row r="37" spans="1:7" x14ac:dyDescent="0.3">
      <c r="A37" s="6">
        <v>44013</v>
      </c>
      <c r="B37" s="7">
        <v>11618.98</v>
      </c>
      <c r="C37" s="7">
        <v>10897.695652173914</v>
      </c>
      <c r="D37" s="7">
        <v>25.184347826086952</v>
      </c>
      <c r="E37" s="8">
        <v>2490.19</v>
      </c>
      <c r="F37" s="8">
        <v>-10007.879999999999</v>
      </c>
      <c r="G37" s="7">
        <v>38103634.630000003</v>
      </c>
    </row>
    <row r="38" spans="1:7" x14ac:dyDescent="0.3">
      <c r="A38" s="6">
        <v>44044</v>
      </c>
      <c r="B38" s="7">
        <v>11927.59</v>
      </c>
      <c r="C38" s="7">
        <v>11318.566666666668</v>
      </c>
      <c r="D38" s="7">
        <v>21.210714285714285</v>
      </c>
      <c r="E38" s="8">
        <v>15749.86</v>
      </c>
      <c r="F38" s="8">
        <v>-11046.78</v>
      </c>
      <c r="G38" s="7">
        <v>38639563.450000003</v>
      </c>
    </row>
    <row r="39" spans="1:7" x14ac:dyDescent="0.3">
      <c r="A39" s="6">
        <v>44075</v>
      </c>
      <c r="B39" s="7">
        <v>11820.78</v>
      </c>
      <c r="C39" s="7">
        <v>11336.702272727271</v>
      </c>
      <c r="D39" s="7">
        <v>21.078977272727272</v>
      </c>
      <c r="E39" s="8">
        <v>-11410.69</v>
      </c>
      <c r="F39" s="8">
        <v>110.3</v>
      </c>
      <c r="G39" s="7">
        <v>51492601.049999997</v>
      </c>
    </row>
    <row r="40" spans="1:7" x14ac:dyDescent="0.3">
      <c r="A40" s="6">
        <v>44105</v>
      </c>
      <c r="B40" s="7">
        <v>12196.08</v>
      </c>
      <c r="C40" s="7">
        <v>11789.709523809524</v>
      </c>
      <c r="D40" s="7">
        <v>21.5825</v>
      </c>
      <c r="E40" s="8">
        <v>14537.4</v>
      </c>
      <c r="F40" s="8">
        <v>-17318.439999999999</v>
      </c>
      <c r="G40" s="7">
        <v>60358608.049999997</v>
      </c>
    </row>
    <row r="41" spans="1:7" x14ac:dyDescent="0.3">
      <c r="A41" s="6">
        <v>44136</v>
      </c>
      <c r="B41" s="7">
        <v>13552.6</v>
      </c>
      <c r="C41" s="7">
        <v>12602.3225</v>
      </c>
      <c r="D41" s="7">
        <v>21.011000000000003</v>
      </c>
      <c r="E41" s="8">
        <v>65317.13</v>
      </c>
      <c r="F41" s="8">
        <v>-48319.17</v>
      </c>
      <c r="G41" s="7">
        <v>58450590.560000002</v>
      </c>
    </row>
    <row r="42" spans="1:7" x14ac:dyDescent="0.3">
      <c r="A42" s="6">
        <v>44166</v>
      </c>
      <c r="B42" s="7">
        <v>14640.61</v>
      </c>
      <c r="C42" s="7">
        <v>13550.44090909091</v>
      </c>
      <c r="D42" s="7">
        <v>19.771363636363638</v>
      </c>
      <c r="E42" s="8">
        <v>48223.94</v>
      </c>
      <c r="F42" s="8">
        <v>-37293.53</v>
      </c>
      <c r="G42" s="7">
        <v>68715461.040000007</v>
      </c>
    </row>
    <row r="43" spans="1:7" x14ac:dyDescent="0.3">
      <c r="A43" s="6">
        <v>44197</v>
      </c>
      <c r="B43" s="7">
        <v>14287.7</v>
      </c>
      <c r="C43" s="7">
        <v>14284.602499999999</v>
      </c>
      <c r="D43" s="7">
        <v>25.34</v>
      </c>
      <c r="E43" s="8">
        <v>8980.81</v>
      </c>
      <c r="F43" s="8">
        <v>-11970.54</v>
      </c>
      <c r="G43" s="7">
        <v>78425626.959999993</v>
      </c>
    </row>
    <row r="44" spans="1:7" x14ac:dyDescent="0.3">
      <c r="A44" s="6">
        <v>44228</v>
      </c>
      <c r="B44" s="7">
        <v>15188.93</v>
      </c>
      <c r="C44" s="7">
        <v>14956.842499999999</v>
      </c>
      <c r="D44" s="7">
        <v>28.14</v>
      </c>
      <c r="E44" s="8">
        <v>42044.46</v>
      </c>
      <c r="F44" s="8">
        <v>-16358.1</v>
      </c>
      <c r="G44" s="7">
        <v>93663167.159999996</v>
      </c>
    </row>
    <row r="45" spans="1:7" x14ac:dyDescent="0.3">
      <c r="A45" s="6">
        <v>44256</v>
      </c>
      <c r="B45" s="7">
        <v>15372.5</v>
      </c>
      <c r="C45" s="7">
        <v>14835.099999999999</v>
      </c>
      <c r="D45" s="7">
        <v>20.65</v>
      </c>
      <c r="E45" s="8">
        <v>1245.22</v>
      </c>
      <c r="F45" s="8">
        <v>5204.42</v>
      </c>
      <c r="G45" s="7">
        <v>97975987.430000007</v>
      </c>
    </row>
    <row r="46" spans="1:7" x14ac:dyDescent="0.3">
      <c r="A46" s="6">
        <v>44287</v>
      </c>
      <c r="B46" s="7">
        <v>15322.41</v>
      </c>
      <c r="C46" s="7">
        <v>14613.852631578948</v>
      </c>
      <c r="D46" s="7">
        <v>23.03</v>
      </c>
      <c r="E46" s="8">
        <v>-12039.43</v>
      </c>
      <c r="F46" s="8">
        <v>11359.88</v>
      </c>
      <c r="G46" s="7">
        <v>93312391.849999994</v>
      </c>
    </row>
    <row r="47" spans="1:7" x14ac:dyDescent="0.3">
      <c r="A47" s="6">
        <v>44317</v>
      </c>
      <c r="B47" s="7">
        <v>16321.15</v>
      </c>
      <c r="C47" s="7">
        <v>14983.525</v>
      </c>
      <c r="D47" s="7">
        <v>17.399999999999999</v>
      </c>
      <c r="E47" s="8">
        <v>-6015.34</v>
      </c>
      <c r="F47" s="8">
        <v>2067.23</v>
      </c>
      <c r="G47" s="7">
        <v>94927122.959999993</v>
      </c>
    </row>
    <row r="48" spans="1:7" x14ac:dyDescent="0.3">
      <c r="A48" s="6">
        <v>44348</v>
      </c>
      <c r="B48" s="7">
        <v>16482.07</v>
      </c>
      <c r="C48" s="7">
        <v>15733.677272727275</v>
      </c>
      <c r="D48" s="7">
        <v>13.05</v>
      </c>
      <c r="E48" s="8">
        <v>-25.89</v>
      </c>
      <c r="F48" s="8">
        <v>7043.51</v>
      </c>
      <c r="G48" s="7">
        <v>96692147.459999993</v>
      </c>
    </row>
    <row r="49" spans="1:7" x14ac:dyDescent="0.3">
      <c r="A49" s="6">
        <v>44378</v>
      </c>
      <c r="B49" s="7">
        <v>16547.5</v>
      </c>
      <c r="C49" s="7">
        <v>15783.097619047621</v>
      </c>
      <c r="D49" s="7">
        <v>12.8</v>
      </c>
      <c r="E49" s="8">
        <v>-23193.39</v>
      </c>
      <c r="F49" s="8">
        <v>18393.919999999998</v>
      </c>
      <c r="G49" s="7">
        <v>115889993.06</v>
      </c>
    </row>
    <row r="50" spans="1:7" x14ac:dyDescent="0.3">
      <c r="A50" s="6">
        <v>44409</v>
      </c>
      <c r="B50" s="7">
        <v>17989.259999999998</v>
      </c>
      <c r="C50" s="7">
        <v>16470.459523809528</v>
      </c>
      <c r="D50" s="7">
        <v>14.52</v>
      </c>
      <c r="E50" s="8">
        <v>-2568.52</v>
      </c>
      <c r="F50" s="8">
        <v>6894.69</v>
      </c>
      <c r="G50" s="7">
        <v>110250209.65000001</v>
      </c>
    </row>
    <row r="51" spans="1:7" x14ac:dyDescent="0.3">
      <c r="A51" s="6">
        <v>44440</v>
      </c>
      <c r="B51" s="7">
        <v>18469.91</v>
      </c>
      <c r="C51" s="7">
        <v>17508.614285714284</v>
      </c>
      <c r="D51" s="7">
        <v>18.399999999999999</v>
      </c>
      <c r="E51" s="8">
        <v>913.77</v>
      </c>
      <c r="F51" s="8">
        <v>5948.85</v>
      </c>
      <c r="G51" s="7">
        <v>149224890.37</v>
      </c>
    </row>
    <row r="52" spans="1:7" x14ac:dyDescent="0.3">
      <c r="A52" s="6">
        <v>44470</v>
      </c>
      <c r="B52" s="7">
        <v>18517.39</v>
      </c>
      <c r="C52" s="7">
        <v>18020.220000000005</v>
      </c>
      <c r="D52" s="7">
        <v>17.43</v>
      </c>
      <c r="E52" s="8">
        <v>-25572.19</v>
      </c>
      <c r="F52" s="8">
        <v>4470.99</v>
      </c>
      <c r="G52" s="7">
        <v>141511127.25999999</v>
      </c>
    </row>
    <row r="53" spans="1:7" x14ac:dyDescent="0.3">
      <c r="A53" s="6">
        <v>44501</v>
      </c>
      <c r="B53" s="7">
        <v>17810.75</v>
      </c>
      <c r="C53" s="7">
        <v>17718.892500000002</v>
      </c>
      <c r="D53" s="7">
        <v>21.17</v>
      </c>
      <c r="E53" s="8">
        <v>-39901.919999999998</v>
      </c>
      <c r="F53" s="8">
        <v>30560.27</v>
      </c>
      <c r="G53" s="7">
        <v>152973110.56999999</v>
      </c>
    </row>
    <row r="54" spans="1:7" x14ac:dyDescent="0.3">
      <c r="A54" s="6">
        <v>44531</v>
      </c>
      <c r="B54" s="7">
        <v>18199.47</v>
      </c>
      <c r="C54" s="7">
        <v>17174.26956521739</v>
      </c>
      <c r="D54" s="7">
        <v>16.22</v>
      </c>
      <c r="E54" s="8">
        <v>-35493.589999999997</v>
      </c>
      <c r="F54" s="8">
        <v>31231.05</v>
      </c>
      <c r="G54" s="7">
        <v>181018353.25</v>
      </c>
    </row>
    <row r="55" spans="1:7" x14ac:dyDescent="0.3">
      <c r="A55" s="6">
        <v>44562</v>
      </c>
      <c r="B55" s="7">
        <v>18175.16</v>
      </c>
      <c r="C55" s="7">
        <v>17770.622500000001</v>
      </c>
      <c r="D55" s="7">
        <v>18.409624999999998</v>
      </c>
      <c r="E55" s="8">
        <v>-41346.35</v>
      </c>
      <c r="F55" s="8">
        <v>21928.400000000001</v>
      </c>
      <c r="G55" s="7">
        <v>175254530.56999999</v>
      </c>
    </row>
    <row r="56" spans="1:7" x14ac:dyDescent="0.3">
      <c r="A56" s="6">
        <v>44593</v>
      </c>
      <c r="B56" s="7">
        <v>17596.12</v>
      </c>
      <c r="C56" s="7">
        <v>17225.940000000002</v>
      </c>
      <c r="D56" s="7">
        <v>22.075250000000004</v>
      </c>
      <c r="E56" s="8">
        <v>-45720.07</v>
      </c>
      <c r="F56" s="8">
        <v>42084.07</v>
      </c>
      <c r="G56" s="7">
        <v>200557773.19</v>
      </c>
    </row>
    <row r="57" spans="1:7" x14ac:dyDescent="0.3">
      <c r="A57" s="6">
        <v>44621</v>
      </c>
      <c r="B57" s="7">
        <v>18299.21</v>
      </c>
      <c r="C57" s="7">
        <v>16864.673809523807</v>
      </c>
      <c r="D57" s="7">
        <v>25.079761904761909</v>
      </c>
      <c r="E57" s="8">
        <v>-43281.31</v>
      </c>
      <c r="F57" s="8">
        <v>39677.03</v>
      </c>
      <c r="G57" s="7">
        <v>187008999.80000001</v>
      </c>
    </row>
    <row r="58" spans="1:7" x14ac:dyDescent="0.3">
      <c r="A58" s="6">
        <v>44652</v>
      </c>
      <c r="B58" s="7">
        <v>17919.259999999998</v>
      </c>
      <c r="C58" s="7">
        <v>17419.360526315788</v>
      </c>
      <c r="D58" s="7">
        <v>18.87263157894737</v>
      </c>
      <c r="E58" s="8">
        <v>-40652.71</v>
      </c>
      <c r="F58" s="8">
        <v>29869.52</v>
      </c>
      <c r="G58" s="7">
        <v>192502411.69999999</v>
      </c>
    </row>
    <row r="59" spans="1:7" x14ac:dyDescent="0.3">
      <c r="A59" s="6">
        <v>44682</v>
      </c>
      <c r="B59" s="7">
        <v>17388.830000000002</v>
      </c>
      <c r="C59" s="7">
        <v>16271.019047619049</v>
      </c>
      <c r="D59" s="7">
        <v>22.608690476190482</v>
      </c>
      <c r="E59" s="8">
        <v>-54292.47</v>
      </c>
      <c r="F59" s="8">
        <v>50835.54</v>
      </c>
      <c r="G59" s="7">
        <v>212279576.15000001</v>
      </c>
    </row>
    <row r="60" spans="1:7" x14ac:dyDescent="0.3">
      <c r="A60" s="6">
        <v>44713</v>
      </c>
      <c r="B60" s="7">
        <v>16554.099999999999</v>
      </c>
      <c r="C60" s="7">
        <v>15933.163636363635</v>
      </c>
      <c r="D60" s="7">
        <v>21.128409090909091</v>
      </c>
      <c r="E60" s="8">
        <v>-58112.37</v>
      </c>
      <c r="F60" s="8">
        <v>46599.23</v>
      </c>
      <c r="G60" s="7">
        <v>219486616.02000001</v>
      </c>
    </row>
    <row r="61" spans="1:7" x14ac:dyDescent="0.3">
      <c r="A61" s="6">
        <v>44743</v>
      </c>
      <c r="B61" s="7">
        <v>18021.3</v>
      </c>
      <c r="C61" s="7">
        <v>16299.021428571426</v>
      </c>
      <c r="D61" s="7">
        <v>18.308690476190478</v>
      </c>
      <c r="E61" s="8">
        <v>-6567.71</v>
      </c>
      <c r="F61" s="8">
        <v>10546.02</v>
      </c>
      <c r="G61" s="7">
        <v>235717204.52000001</v>
      </c>
    </row>
    <row r="62" spans="1:7" x14ac:dyDescent="0.3">
      <c r="A62" s="6">
        <v>44774</v>
      </c>
      <c r="B62" s="7">
        <v>18682.96</v>
      </c>
      <c r="C62" s="7">
        <v>17579.065000000006</v>
      </c>
      <c r="D62" s="7">
        <v>18.565624999999997</v>
      </c>
      <c r="E62" s="8">
        <v>22025.62</v>
      </c>
      <c r="F62" s="8">
        <v>-7068.63</v>
      </c>
      <c r="G62" s="7">
        <v>274756997.57999998</v>
      </c>
    </row>
    <row r="63" spans="1:7" x14ac:dyDescent="0.3">
      <c r="A63" s="6">
        <v>44805</v>
      </c>
      <c r="B63" s="7">
        <v>18011.55</v>
      </c>
      <c r="C63" s="7">
        <v>17544.877272727266</v>
      </c>
      <c r="D63" s="7">
        <v>19.554318181818179</v>
      </c>
      <c r="E63" s="8">
        <v>-18308.3</v>
      </c>
      <c r="F63" s="8">
        <v>14119.75</v>
      </c>
      <c r="G63" s="7">
        <v>251445700.28999999</v>
      </c>
    </row>
    <row r="64" spans="1:7" x14ac:dyDescent="0.3">
      <c r="A64" s="6">
        <v>44835</v>
      </c>
      <c r="B64" s="7">
        <v>18969.25</v>
      </c>
      <c r="C64" s="7">
        <v>17406.873684210528</v>
      </c>
      <c r="D64" s="7">
        <v>18.336447368421059</v>
      </c>
      <c r="E64" s="8">
        <v>-489.06</v>
      </c>
      <c r="F64" s="8">
        <v>9276.9699999999993</v>
      </c>
      <c r="G64" s="7">
        <v>4486480.13</v>
      </c>
    </row>
    <row r="65" spans="1:7" x14ac:dyDescent="0.3">
      <c r="A65" s="6">
        <v>44866</v>
      </c>
      <c r="B65" s="7">
        <v>19740.64</v>
      </c>
      <c r="C65" s="7">
        <v>18311.283333333333</v>
      </c>
      <c r="D65" s="7">
        <v>14.774047619047618</v>
      </c>
      <c r="E65" s="8">
        <v>22546.34</v>
      </c>
      <c r="F65" s="8">
        <v>-6301.32</v>
      </c>
      <c r="G65" s="7">
        <v>5379960.6699999999</v>
      </c>
    </row>
    <row r="66" spans="1:7" x14ac:dyDescent="0.3">
      <c r="A66" s="6">
        <v>44896</v>
      </c>
      <c r="B66" s="7">
        <v>19058.93</v>
      </c>
      <c r="C66" s="7">
        <v>18385.131818181813</v>
      </c>
      <c r="D66" s="7">
        <v>14.225681818181817</v>
      </c>
      <c r="E66" s="8">
        <v>-14231.09</v>
      </c>
      <c r="F66" s="8">
        <v>24159.13</v>
      </c>
      <c r="G66" s="7">
        <v>5071989.45</v>
      </c>
    </row>
    <row r="67" spans="1:7" x14ac:dyDescent="0.3">
      <c r="A67" s="6">
        <v>44927</v>
      </c>
      <c r="B67" s="7">
        <v>18592.13</v>
      </c>
      <c r="C67" s="8">
        <v>17969</v>
      </c>
      <c r="D67" s="7">
        <v>15.008333333333335</v>
      </c>
      <c r="E67" s="8">
        <v>-41464.730000000003</v>
      </c>
      <c r="F67" s="8">
        <v>33411.85</v>
      </c>
      <c r="G67" s="7">
        <v>2213003.34</v>
      </c>
    </row>
    <row r="68" spans="1:7" x14ac:dyDescent="0.3">
      <c r="A68" s="6">
        <v>44958</v>
      </c>
      <c r="B68" s="7">
        <v>18192.14</v>
      </c>
      <c r="C68" s="8">
        <v>17739</v>
      </c>
      <c r="D68" s="7">
        <v>14.060124999999999</v>
      </c>
      <c r="E68" s="8">
        <v>-11090.64</v>
      </c>
      <c r="F68" s="8">
        <v>19239.28</v>
      </c>
      <c r="G68" s="7">
        <v>2772619.51</v>
      </c>
    </row>
    <row r="69" spans="1:7" x14ac:dyDescent="0.3">
      <c r="A69" s="6">
        <v>44986</v>
      </c>
      <c r="B69" s="7">
        <v>18256.53</v>
      </c>
      <c r="C69" s="8">
        <v>17226</v>
      </c>
      <c r="D69" s="7">
        <v>14.35464285714286</v>
      </c>
      <c r="E69" s="8">
        <v>1997.7</v>
      </c>
      <c r="F69" s="8">
        <v>30548.77</v>
      </c>
      <c r="G69" s="7">
        <v>2525378.0499999998</v>
      </c>
    </row>
    <row r="70" spans="1:7" x14ac:dyDescent="0.3">
      <c r="A70" s="6">
        <v>45017</v>
      </c>
      <c r="B70" s="7">
        <v>18984.02</v>
      </c>
      <c r="C70" s="8">
        <v>17711</v>
      </c>
      <c r="D70" s="7">
        <v>11.911617647058824</v>
      </c>
      <c r="E70" s="8">
        <v>5711.8</v>
      </c>
      <c r="F70" s="8">
        <v>2216.5700000000002</v>
      </c>
      <c r="G70" s="7">
        <v>1894750.71</v>
      </c>
    </row>
    <row r="71" spans="1:7" x14ac:dyDescent="0.3">
      <c r="A71" s="6">
        <v>45047</v>
      </c>
      <c r="B71" s="7">
        <v>19475.939999999999</v>
      </c>
      <c r="C71" s="8">
        <v>18307</v>
      </c>
      <c r="D71" s="7">
        <v>12.540113636363635</v>
      </c>
      <c r="E71" s="8">
        <v>27856.48</v>
      </c>
      <c r="F71" s="8">
        <v>-3306.35</v>
      </c>
      <c r="G71" s="7">
        <v>2806373.28</v>
      </c>
    </row>
    <row r="72" spans="1:7" x14ac:dyDescent="0.3">
      <c r="A72" s="6">
        <v>45078</v>
      </c>
      <c r="B72" s="7">
        <v>20144.259999999998</v>
      </c>
      <c r="C72" s="8">
        <v>18727</v>
      </c>
      <c r="D72" s="7">
        <v>11.180476190476192</v>
      </c>
      <c r="E72" s="8">
        <v>27250.01</v>
      </c>
      <c r="F72" s="8">
        <v>4458.2299999999996</v>
      </c>
      <c r="G72" s="7">
        <v>18041131.579999998</v>
      </c>
    </row>
    <row r="73" spans="1:7" x14ac:dyDescent="0.3">
      <c r="A73" s="6">
        <v>45108</v>
      </c>
      <c r="B73" s="7">
        <v>20724.91</v>
      </c>
      <c r="C73" s="8">
        <v>19586</v>
      </c>
      <c r="D73" s="7">
        <v>11.182500000000001</v>
      </c>
      <c r="E73" s="8">
        <v>13922.01</v>
      </c>
      <c r="F73" s="8">
        <v>-1184.33</v>
      </c>
      <c r="G73" s="7">
        <v>33809147.869999997</v>
      </c>
    </row>
    <row r="74" spans="1:7" x14ac:dyDescent="0.3">
      <c r="A74" s="6">
        <v>45139</v>
      </c>
      <c r="B74" s="7">
        <v>20203.2</v>
      </c>
      <c r="C74" s="8">
        <v>19438</v>
      </c>
      <c r="D74" s="7">
        <v>11.63693181818182</v>
      </c>
      <c r="E74" s="8">
        <v>-20620.650000000001</v>
      </c>
      <c r="F74" s="8">
        <v>25016.95</v>
      </c>
      <c r="G74" s="7">
        <v>33222913.82</v>
      </c>
    </row>
    <row r="75" spans="1:7" x14ac:dyDescent="0.3">
      <c r="A75" s="6">
        <v>45170</v>
      </c>
      <c r="B75" s="7">
        <v>20591.259999999998</v>
      </c>
      <c r="C75" s="8">
        <v>19786</v>
      </c>
      <c r="D75" s="7">
        <v>11.197125</v>
      </c>
      <c r="E75" s="8">
        <v>-26692.16</v>
      </c>
      <c r="F75" s="8">
        <v>20312.650000000001</v>
      </c>
      <c r="G75" s="7">
        <v>55738808.399999999</v>
      </c>
    </row>
    <row r="76" spans="1:7" x14ac:dyDescent="0.3">
      <c r="A76" s="6">
        <v>45200</v>
      </c>
      <c r="B76" s="7">
        <v>20001.52</v>
      </c>
      <c r="C76" s="8">
        <v>19482</v>
      </c>
      <c r="D76" s="7">
        <v>11.109249999999999</v>
      </c>
      <c r="E76" s="8">
        <v>-29056.61</v>
      </c>
      <c r="F76" s="8">
        <v>25105.86</v>
      </c>
      <c r="G76" s="7">
        <v>68991523.209999993</v>
      </c>
    </row>
    <row r="77" spans="1:7" x14ac:dyDescent="0.3">
      <c r="A77" s="6">
        <v>45231</v>
      </c>
      <c r="B77" s="7">
        <v>21087.38</v>
      </c>
      <c r="C77" s="8">
        <v>19599</v>
      </c>
      <c r="D77" s="7">
        <v>11.573214285714286</v>
      </c>
      <c r="E77" s="8">
        <v>3901.82</v>
      </c>
      <c r="F77" s="8">
        <v>12720.36</v>
      </c>
      <c r="G77" s="7">
        <v>82489771.099999994</v>
      </c>
    </row>
    <row r="78" spans="1:7" x14ac:dyDescent="0.3">
      <c r="A78" s="6">
        <v>45261</v>
      </c>
      <c r="B78" s="7">
        <v>22759.31</v>
      </c>
      <c r="C78" s="8">
        <v>21166</v>
      </c>
      <c r="D78" s="7">
        <v>13.512874999999999</v>
      </c>
      <c r="E78" s="8">
        <v>31959.78</v>
      </c>
      <c r="F78" s="8">
        <v>12942.25</v>
      </c>
      <c r="G78" s="7">
        <v>149197173.91999999</v>
      </c>
    </row>
    <row r="79" spans="1:7" x14ac:dyDescent="0.3">
      <c r="A79" s="6">
        <v>45292</v>
      </c>
      <c r="B79" s="7">
        <v>22769.07</v>
      </c>
      <c r="C79" s="7">
        <v>21631.893181818181</v>
      </c>
      <c r="D79" s="7">
        <v>14.090454545454547</v>
      </c>
      <c r="E79" s="8">
        <v>-35977.870000000003</v>
      </c>
      <c r="F79" s="8">
        <v>26743.63</v>
      </c>
      <c r="G79" s="7">
        <v>89100210.560000002</v>
      </c>
    </row>
    <row r="80" spans="1:7" x14ac:dyDescent="0.3">
      <c r="A80" s="6">
        <v>45323</v>
      </c>
      <c r="B80" s="7">
        <v>23078.720000000001</v>
      </c>
      <c r="C80" s="7">
        <v>21947.278571428571</v>
      </c>
      <c r="D80" s="7">
        <v>15.547857142857143</v>
      </c>
      <c r="E80" s="8">
        <v>-15962.72</v>
      </c>
      <c r="F80" s="8">
        <v>25379.3</v>
      </c>
      <c r="G80" s="7">
        <v>4622422.66</v>
      </c>
    </row>
    <row r="81" spans="1:7" x14ac:dyDescent="0.3">
      <c r="A81" s="6">
        <v>45352</v>
      </c>
      <c r="B81" s="7">
        <v>23440.799999999999</v>
      </c>
      <c r="C81" s="7">
        <v>22187.310526315792</v>
      </c>
      <c r="D81" s="7">
        <v>13.688333333333334</v>
      </c>
      <c r="E81" s="8">
        <v>3314.47</v>
      </c>
      <c r="F81" s="8">
        <v>56311.6</v>
      </c>
      <c r="G81" s="7">
        <v>3455293.12</v>
      </c>
    </row>
    <row r="82" spans="1:7" x14ac:dyDescent="0.3">
      <c r="A82" s="6">
        <v>45383</v>
      </c>
      <c r="B82" s="7">
        <v>23721.3</v>
      </c>
      <c r="C82" s="7">
        <v>22443.4575</v>
      </c>
      <c r="D82" s="7">
        <v>11.739000000000001</v>
      </c>
      <c r="E82" s="8">
        <v>-35692.19</v>
      </c>
      <c r="F82" s="8">
        <v>44186.28</v>
      </c>
      <c r="G82" s="7">
        <v>27572193.82</v>
      </c>
    </row>
    <row r="83" spans="1:7" x14ac:dyDescent="0.3">
      <c r="A83" s="6">
        <v>45413</v>
      </c>
      <c r="B83" s="7">
        <v>23715.64</v>
      </c>
      <c r="C83" s="7">
        <v>22485.231818181819</v>
      </c>
      <c r="D83" s="7">
        <v>20.159772727272728</v>
      </c>
      <c r="E83" s="8">
        <v>-42214.28</v>
      </c>
      <c r="F83" s="8">
        <v>55733.04</v>
      </c>
      <c r="G83" s="7">
        <v>23363722.800000001</v>
      </c>
    </row>
    <row r="84" spans="1:7" x14ac:dyDescent="0.3">
      <c r="A84" s="6">
        <v>45444</v>
      </c>
      <c r="B84" s="7">
        <v>25240.71</v>
      </c>
      <c r="C84" s="7">
        <v>23364.044736842101</v>
      </c>
      <c r="D84" s="7">
        <v>15.562368421052632</v>
      </c>
      <c r="E84" s="8">
        <v>2037.47</v>
      </c>
      <c r="F84" s="8">
        <v>28633.15</v>
      </c>
      <c r="G84" s="7">
        <v>5176311.97</v>
      </c>
    </row>
    <row r="85" spans="1:7" x14ac:dyDescent="0.3">
      <c r="A85" s="6">
        <v>45474</v>
      </c>
      <c r="B85" s="7">
        <v>26231.91</v>
      </c>
      <c r="C85" s="7">
        <v>24495.152272727271</v>
      </c>
      <c r="D85" s="7">
        <v>13.540454545454542</v>
      </c>
      <c r="E85" s="8">
        <v>5407.83</v>
      </c>
      <c r="F85" s="8">
        <v>23486.02</v>
      </c>
      <c r="G85" s="7">
        <v>4991692.1500000004</v>
      </c>
    </row>
    <row r="86" spans="1:7" x14ac:dyDescent="0.3">
      <c r="A86" s="6">
        <v>45505</v>
      </c>
      <c r="B86" s="7">
        <v>26544.73</v>
      </c>
      <c r="C86" s="7">
        <v>24613.073809523812</v>
      </c>
      <c r="D86" s="7">
        <v>14.900833333333335</v>
      </c>
      <c r="E86" s="8">
        <v>-20339.259999999998</v>
      </c>
      <c r="F86" s="8">
        <v>50174.86</v>
      </c>
      <c r="G86" s="7">
        <v>21888498.129999999</v>
      </c>
    </row>
    <row r="87" spans="1:7" x14ac:dyDescent="0.3">
      <c r="A87" s="6">
        <v>45536</v>
      </c>
      <c r="B87" s="7">
        <v>27133.919999999998</v>
      </c>
      <c r="C87" s="7">
        <v>25470.090476190479</v>
      </c>
      <c r="D87" s="7">
        <v>13.286547619047621</v>
      </c>
      <c r="E87" s="8">
        <v>12611.79</v>
      </c>
      <c r="F87" s="8">
        <v>30857.3</v>
      </c>
      <c r="G87" s="7">
        <v>8384974.8499999996</v>
      </c>
    </row>
    <row r="88" spans="1:7" x14ac:dyDescent="0.3">
      <c r="A88" s="6">
        <v>45566</v>
      </c>
      <c r="B88" s="7">
        <v>25451.599999999999</v>
      </c>
      <c r="C88" s="7">
        <v>24781.670454545456</v>
      </c>
      <c r="D88" s="7">
        <v>13.932386363636363</v>
      </c>
      <c r="E88" s="8">
        <v>-114445.89</v>
      </c>
      <c r="F88" s="8">
        <v>107254.68</v>
      </c>
      <c r="G88" s="7">
        <v>8361146.3700000001</v>
      </c>
    </row>
    <row r="89" spans="1:7" x14ac:dyDescent="0.3">
      <c r="A89" s="6">
        <v>45597</v>
      </c>
      <c r="B89" s="7">
        <v>25393.48</v>
      </c>
      <c r="C89" s="7">
        <v>23969.847368421058</v>
      </c>
      <c r="D89" s="7">
        <v>15.254736842105265</v>
      </c>
      <c r="E89" s="8">
        <v>-45974.12</v>
      </c>
      <c r="F89" s="8">
        <v>44483.86</v>
      </c>
      <c r="G89" s="7">
        <v>6605889.7000000002</v>
      </c>
    </row>
    <row r="90" spans="1:7" x14ac:dyDescent="0.3">
      <c r="A90" s="6">
        <v>45627</v>
      </c>
      <c r="B90" s="7">
        <v>24862.9</v>
      </c>
      <c r="C90" s="7">
        <v>24231.019047619047</v>
      </c>
      <c r="D90" s="7">
        <v>14.020714285714288</v>
      </c>
      <c r="E90" s="8">
        <v>-16982.48</v>
      </c>
      <c r="F90" s="8">
        <v>34194.730000000003</v>
      </c>
      <c r="G90" s="7">
        <v>6918280.5099999998</v>
      </c>
    </row>
  </sheetData>
  <mergeCells count="1">
    <mergeCell ref="A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BD17-76EA-4C05-93D1-765484481961}">
  <dimension ref="A1:E85"/>
  <sheetViews>
    <sheetView tabSelected="1" topLeftCell="F1" zoomScale="68" zoomScaleNormal="68" workbookViewId="0">
      <selection activeCell="G13" sqref="G13"/>
    </sheetView>
  </sheetViews>
  <sheetFormatPr defaultRowHeight="14.4" x14ac:dyDescent="0.3"/>
  <cols>
    <col min="1" max="2" width="11.21875" customWidth="1"/>
    <col min="3" max="4" width="12.109375" customWidth="1"/>
    <col min="5" max="5" width="16.21875" customWidth="1"/>
  </cols>
  <sheetData>
    <row r="1" spans="1:5" x14ac:dyDescent="0.3">
      <c r="A1" s="8" t="s">
        <v>4</v>
      </c>
      <c r="B1" s="8" t="s">
        <v>17</v>
      </c>
      <c r="C1" s="8" t="s">
        <v>18</v>
      </c>
      <c r="D1" s="8" t="s">
        <v>1</v>
      </c>
      <c r="E1" s="8" t="s">
        <v>7</v>
      </c>
    </row>
    <row r="2" spans="1:5" x14ac:dyDescent="0.3">
      <c r="A2" s="7">
        <v>14.73363636</v>
      </c>
      <c r="B2" s="8">
        <v>-1103.3699999999999</v>
      </c>
      <c r="C2" s="8">
        <v>375.55</v>
      </c>
      <c r="D2" s="6">
        <v>43101</v>
      </c>
      <c r="E2" s="7">
        <v>16947159.460000001</v>
      </c>
    </row>
    <row r="3" spans="1:5" x14ac:dyDescent="0.3">
      <c r="A3" s="7">
        <v>16.292894740000001</v>
      </c>
      <c r="B3" s="8">
        <v>4934.1099999999997</v>
      </c>
      <c r="C3" s="8">
        <v>1309.47</v>
      </c>
      <c r="D3" s="6">
        <v>43132</v>
      </c>
      <c r="E3" s="7">
        <v>16748057.109999999</v>
      </c>
    </row>
    <row r="4" spans="1:5" x14ac:dyDescent="0.3">
      <c r="A4" s="7">
        <v>15.11684211</v>
      </c>
      <c r="B4" s="8">
        <v>-29201.200000000001</v>
      </c>
      <c r="C4" s="8">
        <v>26033.9</v>
      </c>
      <c r="D4" s="6">
        <v>43160</v>
      </c>
      <c r="E4" s="7">
        <v>18130032.670000002</v>
      </c>
    </row>
    <row r="5" spans="1:5" x14ac:dyDescent="0.3">
      <c r="A5" s="7">
        <v>13.912023810000001</v>
      </c>
      <c r="B5" s="8">
        <v>-9468.68</v>
      </c>
      <c r="C5" s="8">
        <v>12504.04</v>
      </c>
      <c r="D5" s="6">
        <v>43191</v>
      </c>
      <c r="E5" s="7">
        <v>16333294.869999999</v>
      </c>
    </row>
    <row r="6" spans="1:5" x14ac:dyDescent="0.3">
      <c r="A6" s="7">
        <v>13.57659091</v>
      </c>
      <c r="B6" s="8">
        <v>-2228.5300000000002</v>
      </c>
      <c r="C6" s="8">
        <v>2822.72</v>
      </c>
      <c r="D6" s="6">
        <v>43221</v>
      </c>
      <c r="E6" s="7">
        <v>19905195.239999998</v>
      </c>
    </row>
    <row r="7" spans="1:5" x14ac:dyDescent="0.3">
      <c r="A7" s="7">
        <v>12.82</v>
      </c>
      <c r="B7" s="8">
        <v>-2768.75</v>
      </c>
      <c r="C7" s="8">
        <v>3845.87</v>
      </c>
      <c r="D7" s="6">
        <v>43252</v>
      </c>
      <c r="E7" s="7">
        <v>19266500.129999999</v>
      </c>
    </row>
    <row r="8" spans="1:5" x14ac:dyDescent="0.3">
      <c r="A8" s="7">
        <v>12.73079545</v>
      </c>
      <c r="B8" s="8">
        <v>-10249.17</v>
      </c>
      <c r="C8" s="8">
        <v>14146.15</v>
      </c>
      <c r="D8" s="6">
        <v>43282</v>
      </c>
      <c r="E8" s="7">
        <v>19385123.010000002</v>
      </c>
    </row>
    <row r="9" spans="1:5" x14ac:dyDescent="0.3">
      <c r="A9" s="7">
        <v>12.717380950000001</v>
      </c>
      <c r="B9" s="8">
        <v>-12359.71</v>
      </c>
      <c r="C9" s="8">
        <v>15054.48</v>
      </c>
      <c r="D9" s="6">
        <v>43313</v>
      </c>
      <c r="E9" s="7">
        <v>20078179.969999999</v>
      </c>
    </row>
    <row r="10" spans="1:5" x14ac:dyDescent="0.3">
      <c r="A10" s="7">
        <v>15.03486111</v>
      </c>
      <c r="B10" s="8">
        <v>-9620.56</v>
      </c>
      <c r="C10" s="8">
        <v>8663.8799999999992</v>
      </c>
      <c r="D10" s="6">
        <v>43344</v>
      </c>
      <c r="E10" s="7">
        <v>23209438.420000002</v>
      </c>
    </row>
    <row r="11" spans="1:5" x14ac:dyDescent="0.3">
      <c r="A11" s="7">
        <v>19.152619049999998</v>
      </c>
      <c r="B11" s="8">
        <v>7904.85</v>
      </c>
      <c r="C11" s="8">
        <v>6693.91</v>
      </c>
      <c r="D11" s="6">
        <v>43374</v>
      </c>
      <c r="E11" s="7">
        <v>23245250.670000002</v>
      </c>
    </row>
    <row r="12" spans="1:5" x14ac:dyDescent="0.3">
      <c r="A12" s="7">
        <v>18.829000000000001</v>
      </c>
      <c r="B12" s="8">
        <v>-18619.150000000001</v>
      </c>
      <c r="C12" s="8">
        <v>17813.009999999998</v>
      </c>
      <c r="D12" s="6">
        <v>43405</v>
      </c>
      <c r="E12" s="7">
        <v>18386201.91</v>
      </c>
    </row>
    <row r="13" spans="1:5" x14ac:dyDescent="0.3">
      <c r="A13" s="7">
        <v>16.531500000000001</v>
      </c>
      <c r="B13" s="8">
        <v>9568</v>
      </c>
      <c r="C13" s="8">
        <v>398.73</v>
      </c>
      <c r="D13" s="6">
        <v>43435</v>
      </c>
      <c r="E13" s="7">
        <v>19833818.77</v>
      </c>
    </row>
    <row r="14" spans="1:5" x14ac:dyDescent="0.3">
      <c r="A14" s="7">
        <v>16.737065220000002</v>
      </c>
      <c r="B14" s="8">
        <v>127.67</v>
      </c>
      <c r="C14" s="8">
        <v>2146.8000000000002</v>
      </c>
      <c r="D14" s="6">
        <v>43466</v>
      </c>
      <c r="E14" s="7">
        <v>22832961.710000001</v>
      </c>
    </row>
    <row r="15" spans="1:5" x14ac:dyDescent="0.3">
      <c r="A15" s="7">
        <v>16.404</v>
      </c>
      <c r="B15" s="8">
        <v>13564.57</v>
      </c>
      <c r="C15" s="8">
        <v>-565.89</v>
      </c>
      <c r="D15" s="6">
        <v>43497</v>
      </c>
      <c r="E15" s="7">
        <v>19686714.039999999</v>
      </c>
    </row>
    <row r="16" spans="1:5" x14ac:dyDescent="0.3">
      <c r="A16" s="7">
        <v>15.989605259999999</v>
      </c>
      <c r="B16" s="8">
        <v>32371.43</v>
      </c>
      <c r="C16" s="8">
        <v>-13930.25</v>
      </c>
      <c r="D16" s="6">
        <v>43525</v>
      </c>
      <c r="E16" s="7">
        <v>22581719.859999999</v>
      </c>
    </row>
    <row r="17" spans="1:5" x14ac:dyDescent="0.3">
      <c r="A17" s="7">
        <v>21.075263159999999</v>
      </c>
      <c r="B17" s="8">
        <v>12749.55</v>
      </c>
      <c r="C17" s="8">
        <v>-4219.46</v>
      </c>
      <c r="D17" s="6">
        <v>43556</v>
      </c>
      <c r="E17" s="7">
        <v>23270669.890000001</v>
      </c>
    </row>
    <row r="18" spans="1:5" x14ac:dyDescent="0.3">
      <c r="A18" s="7">
        <v>23.216249999999999</v>
      </c>
      <c r="B18" s="8">
        <v>-2135.85</v>
      </c>
      <c r="C18" s="8">
        <v>5316.34</v>
      </c>
      <c r="D18" s="6">
        <v>43586</v>
      </c>
      <c r="E18" s="7">
        <v>26392563.16</v>
      </c>
    </row>
    <row r="19" spans="1:5" x14ac:dyDescent="0.3">
      <c r="A19" s="7">
        <v>14.75210526</v>
      </c>
      <c r="B19" s="8">
        <v>-688.5</v>
      </c>
      <c r="C19" s="8">
        <v>3643.31</v>
      </c>
      <c r="D19" s="6">
        <v>43617</v>
      </c>
      <c r="E19" s="7">
        <v>25671934.32</v>
      </c>
    </row>
    <row r="20" spans="1:5" x14ac:dyDescent="0.3">
      <c r="A20" s="7">
        <v>12.985217390000001</v>
      </c>
      <c r="B20" s="8">
        <v>-16870.13</v>
      </c>
      <c r="C20" s="8">
        <v>20394.52</v>
      </c>
      <c r="D20" s="6">
        <v>43647</v>
      </c>
      <c r="E20" s="7">
        <v>29343844.609999999</v>
      </c>
    </row>
    <row r="21" spans="1:5" x14ac:dyDescent="0.3">
      <c r="A21" s="7">
        <v>16.486000000000001</v>
      </c>
      <c r="B21" s="8">
        <v>-14828.76</v>
      </c>
      <c r="C21" s="8">
        <v>20933.59</v>
      </c>
      <c r="D21" s="6">
        <v>43678</v>
      </c>
      <c r="E21" s="7">
        <v>31206432.350000001</v>
      </c>
    </row>
    <row r="22" spans="1:5" x14ac:dyDescent="0.3">
      <c r="A22" s="7">
        <v>16.02</v>
      </c>
      <c r="B22" s="8">
        <v>-6624.05</v>
      </c>
      <c r="C22" s="8">
        <v>12490.81</v>
      </c>
      <c r="D22" s="6">
        <v>43709</v>
      </c>
      <c r="E22" s="7">
        <v>28574702.170000002</v>
      </c>
    </row>
    <row r="23" spans="1:5" x14ac:dyDescent="0.3">
      <c r="A23" s="7">
        <v>16.684000000000001</v>
      </c>
      <c r="B23" s="8">
        <v>8595.66</v>
      </c>
      <c r="C23" s="8">
        <v>4758.4799999999996</v>
      </c>
      <c r="D23" s="6">
        <v>43739</v>
      </c>
      <c r="E23" s="7">
        <v>29027816.850000001</v>
      </c>
    </row>
    <row r="24" spans="1:5" x14ac:dyDescent="0.3">
      <c r="A24" s="7">
        <v>15.316125</v>
      </c>
      <c r="B24" s="8">
        <v>12924.93</v>
      </c>
      <c r="C24" s="8">
        <v>-7970.29</v>
      </c>
      <c r="D24" s="6">
        <v>43770</v>
      </c>
      <c r="E24" s="7">
        <v>27369064.940000001</v>
      </c>
    </row>
    <row r="25" spans="1:5" x14ac:dyDescent="0.3">
      <c r="A25" s="7">
        <v>12.836547619999999</v>
      </c>
      <c r="B25" s="8">
        <v>694.12</v>
      </c>
      <c r="C25" s="8">
        <v>-740.76</v>
      </c>
      <c r="D25" s="6">
        <v>43800</v>
      </c>
      <c r="E25" s="7">
        <v>28247951.379999999</v>
      </c>
    </row>
    <row r="26" spans="1:5" x14ac:dyDescent="0.3">
      <c r="A26" s="7">
        <v>14.942826086956501</v>
      </c>
      <c r="B26" s="8">
        <v>-5359.51</v>
      </c>
      <c r="C26" s="8">
        <v>1073.49</v>
      </c>
      <c r="D26" s="6">
        <v>43831</v>
      </c>
      <c r="E26" s="7">
        <v>35288275.579999998</v>
      </c>
    </row>
    <row r="27" spans="1:5" x14ac:dyDescent="0.3">
      <c r="A27" s="7">
        <v>15.359874999999999</v>
      </c>
      <c r="B27" s="8">
        <v>-12684.3</v>
      </c>
      <c r="C27" s="8">
        <v>16933.03</v>
      </c>
      <c r="D27" s="6">
        <v>43862</v>
      </c>
      <c r="E27" s="7">
        <v>35763137.170000002</v>
      </c>
    </row>
    <row r="28" spans="1:5" x14ac:dyDescent="0.3">
      <c r="A28" s="7">
        <v>53.063571428571429</v>
      </c>
      <c r="B28" s="8">
        <v>-65816.7</v>
      </c>
      <c r="C28" s="8">
        <v>55595.18</v>
      </c>
      <c r="D28" s="6">
        <v>43891</v>
      </c>
      <c r="E28" s="7">
        <v>23968171.75</v>
      </c>
    </row>
    <row r="29" spans="1:5" x14ac:dyDescent="0.3">
      <c r="A29" s="7">
        <v>45.003749999999997</v>
      </c>
      <c r="B29" s="8">
        <v>-5208.5</v>
      </c>
      <c r="C29" s="8">
        <v>-117</v>
      </c>
      <c r="D29" s="6">
        <v>43922</v>
      </c>
      <c r="E29" s="7">
        <v>18943089.440000001</v>
      </c>
    </row>
    <row r="30" spans="1:5" x14ac:dyDescent="0.3">
      <c r="A30" s="7">
        <v>36.982105263157905</v>
      </c>
      <c r="B30" s="8">
        <v>13914.49</v>
      </c>
      <c r="C30" s="8">
        <v>12293.19</v>
      </c>
      <c r="D30" s="6">
        <v>43952</v>
      </c>
      <c r="E30" s="7">
        <v>25386221.010000002</v>
      </c>
    </row>
    <row r="31" spans="1:5" x14ac:dyDescent="0.3">
      <c r="A31" s="7">
        <v>30.23761363636363</v>
      </c>
      <c r="B31" s="8">
        <v>5492.95</v>
      </c>
      <c r="C31" s="8">
        <v>2434.4</v>
      </c>
      <c r="D31" s="6">
        <v>43983</v>
      </c>
      <c r="E31" s="7">
        <v>30252399.550000001</v>
      </c>
    </row>
    <row r="32" spans="1:5" x14ac:dyDescent="0.3">
      <c r="A32" s="7">
        <v>25.184347826086952</v>
      </c>
      <c r="B32" s="8">
        <v>2490.19</v>
      </c>
      <c r="C32" s="8">
        <v>-10007.879999999999</v>
      </c>
      <c r="D32" s="6">
        <v>44013</v>
      </c>
      <c r="E32" s="7">
        <v>38103634.630000003</v>
      </c>
    </row>
    <row r="33" spans="1:5" x14ac:dyDescent="0.3">
      <c r="A33" s="7">
        <v>21.210714285714285</v>
      </c>
      <c r="B33" s="8">
        <v>15749.86</v>
      </c>
      <c r="C33" s="8">
        <v>-11046.78</v>
      </c>
      <c r="D33" s="6">
        <v>44044</v>
      </c>
      <c r="E33" s="7">
        <v>38639563.450000003</v>
      </c>
    </row>
    <row r="34" spans="1:5" x14ac:dyDescent="0.3">
      <c r="A34" s="7">
        <v>21.078977272727272</v>
      </c>
      <c r="B34" s="8">
        <v>-11410.69</v>
      </c>
      <c r="C34" s="8">
        <v>110.3</v>
      </c>
      <c r="D34" s="6">
        <v>44075</v>
      </c>
      <c r="E34" s="7">
        <v>51492601.049999997</v>
      </c>
    </row>
    <row r="35" spans="1:5" x14ac:dyDescent="0.3">
      <c r="A35" s="7">
        <v>21.5825</v>
      </c>
      <c r="B35" s="8">
        <v>14537.4</v>
      </c>
      <c r="C35" s="8">
        <v>-17318.439999999999</v>
      </c>
      <c r="D35" s="6">
        <v>44105</v>
      </c>
      <c r="E35" s="7">
        <v>60358608.049999997</v>
      </c>
    </row>
    <row r="36" spans="1:5" x14ac:dyDescent="0.3">
      <c r="A36" s="7">
        <v>21.011000000000003</v>
      </c>
      <c r="B36" s="8">
        <v>65317.13</v>
      </c>
      <c r="C36" s="8">
        <v>-48319.17</v>
      </c>
      <c r="D36" s="6">
        <v>44136</v>
      </c>
      <c r="E36" s="7">
        <v>58450590.560000002</v>
      </c>
    </row>
    <row r="37" spans="1:5" x14ac:dyDescent="0.3">
      <c r="A37" s="7">
        <v>19.771363636363638</v>
      </c>
      <c r="B37" s="8">
        <v>48223.94</v>
      </c>
      <c r="C37" s="8">
        <v>-37293.53</v>
      </c>
      <c r="D37" s="6">
        <v>44166</v>
      </c>
      <c r="E37" s="7">
        <v>68715461.040000007</v>
      </c>
    </row>
    <row r="38" spans="1:5" x14ac:dyDescent="0.3">
      <c r="A38" s="7">
        <v>25.34</v>
      </c>
      <c r="B38" s="8">
        <v>8980.81</v>
      </c>
      <c r="C38" s="8">
        <v>-11970.54</v>
      </c>
      <c r="D38" s="6">
        <v>44197</v>
      </c>
      <c r="E38" s="7">
        <v>78425626.959999993</v>
      </c>
    </row>
    <row r="39" spans="1:5" x14ac:dyDescent="0.3">
      <c r="A39" s="7">
        <v>28.14</v>
      </c>
      <c r="B39" s="8">
        <v>42044.46</v>
      </c>
      <c r="C39" s="8">
        <v>-16358.1</v>
      </c>
      <c r="D39" s="6">
        <v>44228</v>
      </c>
      <c r="E39" s="7">
        <v>93663167.159999996</v>
      </c>
    </row>
    <row r="40" spans="1:5" x14ac:dyDescent="0.3">
      <c r="A40" s="7">
        <v>20.65</v>
      </c>
      <c r="B40" s="8">
        <v>1245.22</v>
      </c>
      <c r="C40" s="8">
        <v>5204.42</v>
      </c>
      <c r="D40" s="6">
        <v>44256</v>
      </c>
      <c r="E40" s="7">
        <v>97975987.430000007</v>
      </c>
    </row>
    <row r="41" spans="1:5" x14ac:dyDescent="0.3">
      <c r="A41" s="7">
        <v>23.03</v>
      </c>
      <c r="B41" s="8">
        <v>-12039.43</v>
      </c>
      <c r="C41" s="8">
        <v>11359.88</v>
      </c>
      <c r="D41" s="6">
        <v>44287</v>
      </c>
      <c r="E41" s="7">
        <v>93312391.849999994</v>
      </c>
    </row>
    <row r="42" spans="1:5" x14ac:dyDescent="0.3">
      <c r="A42" s="7">
        <v>17.399999999999999</v>
      </c>
      <c r="B42" s="8">
        <v>-6015.34</v>
      </c>
      <c r="C42" s="8">
        <v>2067.23</v>
      </c>
      <c r="D42" s="6">
        <v>44317</v>
      </c>
      <c r="E42" s="7">
        <v>94927122.959999993</v>
      </c>
    </row>
    <row r="43" spans="1:5" x14ac:dyDescent="0.3">
      <c r="A43" s="7">
        <v>13.05</v>
      </c>
      <c r="B43" s="8">
        <v>-25.89</v>
      </c>
      <c r="C43" s="8">
        <v>7043.51</v>
      </c>
      <c r="D43" s="6">
        <v>44348</v>
      </c>
      <c r="E43" s="7">
        <v>96692147.459999993</v>
      </c>
    </row>
    <row r="44" spans="1:5" x14ac:dyDescent="0.3">
      <c r="A44" s="7">
        <v>12.8</v>
      </c>
      <c r="B44" s="8">
        <v>-23193.39</v>
      </c>
      <c r="C44" s="8">
        <v>18393.919999999998</v>
      </c>
      <c r="D44" s="6">
        <v>44378</v>
      </c>
      <c r="E44" s="7">
        <v>115889993.06</v>
      </c>
    </row>
    <row r="45" spans="1:5" x14ac:dyDescent="0.3">
      <c r="A45" s="7">
        <v>14.52</v>
      </c>
      <c r="B45" s="8">
        <v>-2568.52</v>
      </c>
      <c r="C45" s="8">
        <v>6894.69</v>
      </c>
      <c r="D45" s="6">
        <v>44409</v>
      </c>
      <c r="E45" s="7">
        <v>110250209.65000001</v>
      </c>
    </row>
    <row r="46" spans="1:5" x14ac:dyDescent="0.3">
      <c r="A46" s="7">
        <v>18.399999999999999</v>
      </c>
      <c r="B46" s="8">
        <v>913.77</v>
      </c>
      <c r="C46" s="8">
        <v>5948.85</v>
      </c>
      <c r="D46" s="6">
        <v>44440</v>
      </c>
      <c r="E46" s="7">
        <v>149224890.37</v>
      </c>
    </row>
    <row r="47" spans="1:5" x14ac:dyDescent="0.3">
      <c r="A47" s="7">
        <v>17.43</v>
      </c>
      <c r="B47" s="8">
        <v>-25572.19</v>
      </c>
      <c r="C47" s="8">
        <v>4470.99</v>
      </c>
      <c r="D47" s="6">
        <v>44470</v>
      </c>
      <c r="E47" s="7">
        <v>141511127.25999999</v>
      </c>
    </row>
    <row r="48" spans="1:5" x14ac:dyDescent="0.3">
      <c r="A48" s="7">
        <v>21.17</v>
      </c>
      <c r="B48" s="8">
        <v>-39901.919999999998</v>
      </c>
      <c r="C48" s="8">
        <v>30560.27</v>
      </c>
      <c r="D48" s="6">
        <v>44501</v>
      </c>
      <c r="E48" s="7">
        <v>152973110.56999999</v>
      </c>
    </row>
    <row r="49" spans="1:5" x14ac:dyDescent="0.3">
      <c r="A49" s="7">
        <v>16.22</v>
      </c>
      <c r="B49" s="8">
        <v>-35493.589999999997</v>
      </c>
      <c r="C49" s="8">
        <v>31231.05</v>
      </c>
      <c r="D49" s="6">
        <v>44531</v>
      </c>
      <c r="E49" s="7">
        <v>181018353.25</v>
      </c>
    </row>
    <row r="50" spans="1:5" x14ac:dyDescent="0.3">
      <c r="A50" s="7">
        <v>18.409624999999998</v>
      </c>
      <c r="B50" s="8">
        <v>-41346.35</v>
      </c>
      <c r="C50" s="8">
        <v>21928.400000000001</v>
      </c>
      <c r="D50" s="6">
        <v>44562</v>
      </c>
      <c r="E50" s="7">
        <v>175254530.56999999</v>
      </c>
    </row>
    <row r="51" spans="1:5" x14ac:dyDescent="0.3">
      <c r="A51" s="7">
        <v>22.075250000000004</v>
      </c>
      <c r="B51" s="8">
        <v>-45720.07</v>
      </c>
      <c r="C51" s="8">
        <v>42084.07</v>
      </c>
      <c r="D51" s="6">
        <v>44593</v>
      </c>
      <c r="E51" s="7">
        <v>200557773.19</v>
      </c>
    </row>
    <row r="52" spans="1:5" x14ac:dyDescent="0.3">
      <c r="A52" s="7">
        <v>25.079761904761909</v>
      </c>
      <c r="B52" s="8">
        <v>-43281.31</v>
      </c>
      <c r="C52" s="8">
        <v>39677.03</v>
      </c>
      <c r="D52" s="6">
        <v>44621</v>
      </c>
      <c r="E52" s="7">
        <v>187008999.80000001</v>
      </c>
    </row>
    <row r="53" spans="1:5" x14ac:dyDescent="0.3">
      <c r="A53" s="7">
        <v>18.87263157894737</v>
      </c>
      <c r="B53" s="8">
        <v>-40652.71</v>
      </c>
      <c r="C53" s="8">
        <v>29869.52</v>
      </c>
      <c r="D53" s="6">
        <v>44652</v>
      </c>
      <c r="E53" s="7">
        <v>192502411.69999999</v>
      </c>
    </row>
    <row r="54" spans="1:5" x14ac:dyDescent="0.3">
      <c r="A54" s="7">
        <v>22.608690476190482</v>
      </c>
      <c r="B54" s="8">
        <v>-54292.47</v>
      </c>
      <c r="C54" s="8">
        <v>50835.54</v>
      </c>
      <c r="D54" s="6">
        <v>44682</v>
      </c>
      <c r="E54" s="7">
        <v>212279576.15000001</v>
      </c>
    </row>
    <row r="55" spans="1:5" x14ac:dyDescent="0.3">
      <c r="A55" s="7">
        <v>21.128409090909091</v>
      </c>
      <c r="B55" s="8">
        <v>-58112.37</v>
      </c>
      <c r="C55" s="8">
        <v>46599.23</v>
      </c>
      <c r="D55" s="6">
        <v>44713</v>
      </c>
      <c r="E55" s="7">
        <v>219486616.02000001</v>
      </c>
    </row>
    <row r="56" spans="1:5" x14ac:dyDescent="0.3">
      <c r="A56" s="7">
        <v>18.308690476190478</v>
      </c>
      <c r="B56" s="8">
        <v>-6567.71</v>
      </c>
      <c r="C56" s="8">
        <v>10546.02</v>
      </c>
      <c r="D56" s="6">
        <v>44743</v>
      </c>
      <c r="E56" s="7">
        <v>235717204.52000001</v>
      </c>
    </row>
    <row r="57" spans="1:5" x14ac:dyDescent="0.3">
      <c r="A57" s="7">
        <v>18.565624999999997</v>
      </c>
      <c r="B57" s="8">
        <v>22025.62</v>
      </c>
      <c r="C57" s="8">
        <v>-7068.63</v>
      </c>
      <c r="D57" s="6">
        <v>44774</v>
      </c>
      <c r="E57" s="7">
        <v>274756997.57999998</v>
      </c>
    </row>
    <row r="58" spans="1:5" x14ac:dyDescent="0.3">
      <c r="A58" s="7">
        <v>19.554318181818179</v>
      </c>
      <c r="B58" s="8">
        <v>-18308.3</v>
      </c>
      <c r="C58" s="8">
        <v>14119.75</v>
      </c>
      <c r="D58" s="6">
        <v>44805</v>
      </c>
      <c r="E58" s="7">
        <v>251445700.28999999</v>
      </c>
    </row>
    <row r="59" spans="1:5" x14ac:dyDescent="0.3">
      <c r="A59" s="7">
        <v>18.336447368421059</v>
      </c>
      <c r="B59" s="8">
        <v>-489.06</v>
      </c>
      <c r="C59" s="8">
        <v>9276.9699999999993</v>
      </c>
      <c r="D59" s="6">
        <v>44835</v>
      </c>
      <c r="E59" s="7">
        <v>4486480.13</v>
      </c>
    </row>
    <row r="60" spans="1:5" x14ac:dyDescent="0.3">
      <c r="A60" s="7">
        <v>14.774047619047618</v>
      </c>
      <c r="B60" s="8">
        <v>22546.34</v>
      </c>
      <c r="C60" s="8">
        <v>-6301.32</v>
      </c>
      <c r="D60" s="6">
        <v>44866</v>
      </c>
      <c r="E60" s="7">
        <v>5379960.6699999999</v>
      </c>
    </row>
    <row r="61" spans="1:5" x14ac:dyDescent="0.3">
      <c r="A61" s="7">
        <v>14.225681818181817</v>
      </c>
      <c r="B61" s="8">
        <v>-14231.09</v>
      </c>
      <c r="C61" s="8">
        <v>24159.13</v>
      </c>
      <c r="D61" s="6">
        <v>44896</v>
      </c>
      <c r="E61" s="7">
        <v>5071989.45</v>
      </c>
    </row>
    <row r="62" spans="1:5" x14ac:dyDescent="0.3">
      <c r="A62" s="7">
        <v>15.008333333333335</v>
      </c>
      <c r="B62" s="8">
        <v>-41464.730000000003</v>
      </c>
      <c r="C62" s="8">
        <v>33411.85</v>
      </c>
      <c r="D62" s="6">
        <v>44927</v>
      </c>
      <c r="E62" s="7">
        <v>2213003.34</v>
      </c>
    </row>
    <row r="63" spans="1:5" x14ac:dyDescent="0.3">
      <c r="A63" s="7">
        <v>14.060124999999999</v>
      </c>
      <c r="B63" s="8">
        <v>-11090.64</v>
      </c>
      <c r="C63" s="8">
        <v>19239.28</v>
      </c>
      <c r="D63" s="6">
        <v>44958</v>
      </c>
      <c r="E63" s="7">
        <v>2772619.51</v>
      </c>
    </row>
    <row r="64" spans="1:5" x14ac:dyDescent="0.3">
      <c r="A64" s="7">
        <v>14.35464285714286</v>
      </c>
      <c r="B64" s="8">
        <v>1997.7</v>
      </c>
      <c r="C64" s="8">
        <v>30548.77</v>
      </c>
      <c r="D64" s="6">
        <v>44986</v>
      </c>
      <c r="E64" s="7">
        <v>2525378.0499999998</v>
      </c>
    </row>
    <row r="65" spans="1:5" x14ac:dyDescent="0.3">
      <c r="A65" s="7">
        <v>11.911617647058824</v>
      </c>
      <c r="B65" s="8">
        <v>5711.8</v>
      </c>
      <c r="C65" s="8">
        <v>2216.5700000000002</v>
      </c>
      <c r="D65" s="6">
        <v>45017</v>
      </c>
      <c r="E65" s="7">
        <v>1894750.71</v>
      </c>
    </row>
    <row r="66" spans="1:5" x14ac:dyDescent="0.3">
      <c r="A66" s="7">
        <v>12.540113636363635</v>
      </c>
      <c r="B66" s="8">
        <v>27856.48</v>
      </c>
      <c r="C66" s="8">
        <v>-3306.35</v>
      </c>
      <c r="D66" s="6">
        <v>45047</v>
      </c>
      <c r="E66" s="7">
        <v>2806373.28</v>
      </c>
    </row>
    <row r="67" spans="1:5" x14ac:dyDescent="0.3">
      <c r="A67" s="7">
        <v>11.180476190476192</v>
      </c>
      <c r="B67" s="8">
        <v>27250.01</v>
      </c>
      <c r="C67" s="8">
        <v>4458.2299999999996</v>
      </c>
      <c r="D67" s="6">
        <v>45078</v>
      </c>
      <c r="E67" s="7">
        <v>18041131.579999998</v>
      </c>
    </row>
    <row r="68" spans="1:5" x14ac:dyDescent="0.3">
      <c r="A68" s="7">
        <v>11.182500000000001</v>
      </c>
      <c r="B68" s="8">
        <v>13922.01</v>
      </c>
      <c r="C68" s="8">
        <v>-1184.33</v>
      </c>
      <c r="D68" s="6">
        <v>45108</v>
      </c>
      <c r="E68" s="7">
        <v>33809147.869999997</v>
      </c>
    </row>
    <row r="69" spans="1:5" x14ac:dyDescent="0.3">
      <c r="A69" s="7">
        <v>11.63693181818182</v>
      </c>
      <c r="B69" s="8">
        <v>-20620.650000000001</v>
      </c>
      <c r="C69" s="8">
        <v>25016.95</v>
      </c>
      <c r="D69" s="6">
        <v>45139</v>
      </c>
      <c r="E69" s="7">
        <v>33222913.82</v>
      </c>
    </row>
    <row r="70" spans="1:5" x14ac:dyDescent="0.3">
      <c r="A70" s="7">
        <v>11.197125</v>
      </c>
      <c r="B70" s="8">
        <v>-26692.16</v>
      </c>
      <c r="C70" s="8">
        <v>20312.650000000001</v>
      </c>
      <c r="D70" s="6">
        <v>45170</v>
      </c>
      <c r="E70" s="7">
        <v>55738808.399999999</v>
      </c>
    </row>
    <row r="71" spans="1:5" x14ac:dyDescent="0.3">
      <c r="A71" s="7">
        <v>11.109249999999999</v>
      </c>
      <c r="B71" s="8">
        <v>-29056.61</v>
      </c>
      <c r="C71" s="8">
        <v>25105.86</v>
      </c>
      <c r="D71" s="6">
        <v>45200</v>
      </c>
      <c r="E71" s="7">
        <v>68991523.209999993</v>
      </c>
    </row>
    <row r="72" spans="1:5" x14ac:dyDescent="0.3">
      <c r="A72" s="7">
        <v>11.573214285714286</v>
      </c>
      <c r="B72" s="8">
        <v>3901.82</v>
      </c>
      <c r="C72" s="8">
        <v>12720.36</v>
      </c>
      <c r="D72" s="6">
        <v>45231</v>
      </c>
      <c r="E72" s="7">
        <v>82489771.099999994</v>
      </c>
    </row>
    <row r="73" spans="1:5" x14ac:dyDescent="0.3">
      <c r="A73" s="7">
        <v>13.512874999999999</v>
      </c>
      <c r="B73" s="8">
        <v>31959.78</v>
      </c>
      <c r="C73" s="8">
        <v>12942.25</v>
      </c>
      <c r="D73" s="6">
        <v>45261</v>
      </c>
      <c r="E73" s="7">
        <v>149197173.91999999</v>
      </c>
    </row>
    <row r="74" spans="1:5" x14ac:dyDescent="0.3">
      <c r="A74" s="7">
        <v>14.090454545454547</v>
      </c>
      <c r="B74" s="8">
        <v>-35977.870000000003</v>
      </c>
      <c r="C74" s="8">
        <v>26743.63</v>
      </c>
      <c r="D74" s="6">
        <v>45292</v>
      </c>
      <c r="E74" s="7">
        <v>89100210.560000002</v>
      </c>
    </row>
    <row r="75" spans="1:5" x14ac:dyDescent="0.3">
      <c r="A75" s="7">
        <v>15.547857142857143</v>
      </c>
      <c r="B75" s="8">
        <v>-15962.72</v>
      </c>
      <c r="C75" s="8">
        <v>25379.3</v>
      </c>
      <c r="D75" s="6">
        <v>45323</v>
      </c>
      <c r="E75" s="7">
        <v>4622422.66</v>
      </c>
    </row>
    <row r="76" spans="1:5" x14ac:dyDescent="0.3">
      <c r="A76" s="7">
        <v>13.688333333333334</v>
      </c>
      <c r="B76" s="8">
        <v>3314.47</v>
      </c>
      <c r="C76" s="8">
        <v>56311.6</v>
      </c>
      <c r="D76" s="6">
        <v>45352</v>
      </c>
      <c r="E76" s="7">
        <v>3455293.12</v>
      </c>
    </row>
    <row r="77" spans="1:5" x14ac:dyDescent="0.3">
      <c r="A77" s="7">
        <v>11.739000000000001</v>
      </c>
      <c r="B77" s="8">
        <v>-35692.19</v>
      </c>
      <c r="C77" s="8">
        <v>44186.28</v>
      </c>
      <c r="D77" s="6">
        <v>45383</v>
      </c>
      <c r="E77" s="7">
        <v>27572193.82</v>
      </c>
    </row>
    <row r="78" spans="1:5" x14ac:dyDescent="0.3">
      <c r="A78" s="7">
        <v>20.159772727272728</v>
      </c>
      <c r="B78" s="8">
        <v>-42214.28</v>
      </c>
      <c r="C78" s="8">
        <v>55733.04</v>
      </c>
      <c r="D78" s="6">
        <v>45413</v>
      </c>
      <c r="E78" s="7">
        <v>23363722.800000001</v>
      </c>
    </row>
    <row r="79" spans="1:5" x14ac:dyDescent="0.3">
      <c r="A79" s="7">
        <v>15.562368421052632</v>
      </c>
      <c r="B79" s="8">
        <v>2037.47</v>
      </c>
      <c r="C79" s="8">
        <v>28633.15</v>
      </c>
      <c r="D79" s="6">
        <v>45444</v>
      </c>
      <c r="E79" s="7">
        <v>5176311.97</v>
      </c>
    </row>
    <row r="80" spans="1:5" x14ac:dyDescent="0.3">
      <c r="A80" s="7">
        <v>13.540454545454542</v>
      </c>
      <c r="B80" s="8">
        <v>5407.83</v>
      </c>
      <c r="C80" s="8">
        <v>23486.02</v>
      </c>
      <c r="D80" s="6">
        <v>45474</v>
      </c>
      <c r="E80" s="7">
        <v>4991692.1500000004</v>
      </c>
    </row>
    <row r="81" spans="1:5" x14ac:dyDescent="0.3">
      <c r="A81" s="7">
        <v>14.900833333333335</v>
      </c>
      <c r="B81" s="8">
        <v>-20339.259999999998</v>
      </c>
      <c r="C81" s="8">
        <v>50174.86</v>
      </c>
      <c r="D81" s="6">
        <v>45505</v>
      </c>
      <c r="E81" s="7">
        <v>21888498.129999999</v>
      </c>
    </row>
    <row r="82" spans="1:5" x14ac:dyDescent="0.3">
      <c r="A82" s="7">
        <v>13.286547619047621</v>
      </c>
      <c r="B82" s="8">
        <v>12611.79</v>
      </c>
      <c r="C82" s="8">
        <v>30857.3</v>
      </c>
      <c r="D82" s="6">
        <v>45536</v>
      </c>
      <c r="E82" s="7">
        <v>8384974.8499999996</v>
      </c>
    </row>
    <row r="83" spans="1:5" x14ac:dyDescent="0.3">
      <c r="A83" s="7">
        <v>13.932386363636363</v>
      </c>
      <c r="B83" s="8">
        <v>-114445.89</v>
      </c>
      <c r="C83" s="8">
        <v>107254.68</v>
      </c>
      <c r="D83" s="6">
        <v>45566</v>
      </c>
      <c r="E83" s="7">
        <v>8361146.3700000001</v>
      </c>
    </row>
    <row r="84" spans="1:5" x14ac:dyDescent="0.3">
      <c r="A84" s="7">
        <v>15.254736842105265</v>
      </c>
      <c r="B84" s="8">
        <v>-45974.12</v>
      </c>
      <c r="C84" s="8">
        <v>44483.86</v>
      </c>
      <c r="D84" s="6">
        <v>45597</v>
      </c>
      <c r="E84" s="7">
        <v>6605889.7000000002</v>
      </c>
    </row>
    <row r="85" spans="1:5" x14ac:dyDescent="0.3">
      <c r="A85" s="7">
        <v>14.020714285714288</v>
      </c>
      <c r="B85" s="8">
        <v>-16982.48</v>
      </c>
      <c r="C85" s="8">
        <v>34194.730000000003</v>
      </c>
      <c r="D85" s="6">
        <v>45627</v>
      </c>
      <c r="E85" s="7">
        <v>6918280.5099999998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7AF9-257A-4571-B628-37F0286BD748}">
  <dimension ref="A1:M85"/>
  <sheetViews>
    <sheetView workbookViewId="0">
      <selection sqref="A1:G85"/>
    </sheetView>
  </sheetViews>
  <sheetFormatPr defaultRowHeight="14.4" x14ac:dyDescent="0.3"/>
  <cols>
    <col min="7" max="7" width="20.109375" customWidth="1"/>
    <col min="8" max="8" width="17.6640625" customWidth="1"/>
    <col min="11" max="11" width="23" customWidth="1"/>
    <col min="12" max="12" width="10.88671875" customWidth="1"/>
    <col min="13" max="13" width="16.77734375" customWidth="1"/>
  </cols>
  <sheetData>
    <row r="1" spans="1:13" x14ac:dyDescent="0.3">
      <c r="A1" s="8" t="s">
        <v>1</v>
      </c>
      <c r="B1" s="8" t="s">
        <v>19</v>
      </c>
      <c r="C1" s="8" t="s">
        <v>20</v>
      </c>
      <c r="D1" s="8" t="s">
        <v>4</v>
      </c>
      <c r="E1" s="8" t="s">
        <v>17</v>
      </c>
      <c r="F1" s="8" t="s">
        <v>18</v>
      </c>
      <c r="G1" s="8" t="s">
        <v>7</v>
      </c>
      <c r="H1" s="8" t="s">
        <v>21</v>
      </c>
      <c r="K1" t="s">
        <v>29</v>
      </c>
    </row>
    <row r="2" spans="1:13" x14ac:dyDescent="0.3">
      <c r="A2" s="6">
        <v>43101</v>
      </c>
      <c r="B2" s="7">
        <v>11506.88</v>
      </c>
      <c r="C2" s="7">
        <v>10771.154545454547</v>
      </c>
      <c r="D2" s="7">
        <v>14.73363636</v>
      </c>
      <c r="E2" s="8">
        <v>-1103.3699999999999</v>
      </c>
      <c r="F2" s="8">
        <v>375.55</v>
      </c>
      <c r="G2" s="7">
        <v>16947159.460000001</v>
      </c>
      <c r="H2" s="8">
        <f t="shared" ref="H2:H33" si="0">IF(D2&gt;$L$3,1,0)</f>
        <v>0</v>
      </c>
      <c r="K2" s="8" t="s">
        <v>28</v>
      </c>
      <c r="L2" s="8" t="s">
        <v>22</v>
      </c>
      <c r="M2" s="8" t="s">
        <v>23</v>
      </c>
    </row>
    <row r="3" spans="1:13" x14ac:dyDescent="0.3">
      <c r="A3" s="6">
        <v>43132</v>
      </c>
      <c r="B3" s="7">
        <v>10959.52</v>
      </c>
      <c r="C3" s="7">
        <v>10533.105263157895</v>
      </c>
      <c r="D3" s="7">
        <v>16.292894740000001</v>
      </c>
      <c r="E3" s="8">
        <v>4934.1099999999997</v>
      </c>
      <c r="F3" s="8">
        <v>1309.47</v>
      </c>
      <c r="G3" s="7">
        <v>16748057.109999999</v>
      </c>
      <c r="H3" s="8">
        <f t="shared" si="0"/>
        <v>0</v>
      </c>
      <c r="K3" s="8" t="s">
        <v>24</v>
      </c>
      <c r="L3" s="7">
        <f>AVERAGE(D2:D85)</f>
        <v>17.743557265213596</v>
      </c>
      <c r="M3" s="8">
        <f>_xlfn.STDEV.P(D2:D85)</f>
        <v>6.7432663618075654</v>
      </c>
    </row>
    <row r="4" spans="1:13" x14ac:dyDescent="0.3">
      <c r="A4" s="6">
        <v>43160</v>
      </c>
      <c r="B4" s="7">
        <v>10591.7</v>
      </c>
      <c r="C4" s="7">
        <v>10232.61842105263</v>
      </c>
      <c r="D4" s="7">
        <v>15.11684211</v>
      </c>
      <c r="E4" s="8">
        <v>-29201.200000000001</v>
      </c>
      <c r="F4" s="8">
        <v>26033.9</v>
      </c>
      <c r="G4" s="7">
        <v>18130032.670000002</v>
      </c>
      <c r="H4" s="8">
        <f t="shared" si="0"/>
        <v>0</v>
      </c>
      <c r="K4" s="8" t="s">
        <v>25</v>
      </c>
      <c r="L4" s="8">
        <f>AVERAGE(E2:E85)</f>
        <v>-7841.4665476190467</v>
      </c>
      <c r="M4" s="8">
        <f>_xlfn.STDEV.P(E2:E85)</f>
        <v>26604.564916836949</v>
      </c>
    </row>
    <row r="5" spans="1:13" x14ac:dyDescent="0.3">
      <c r="A5" s="6">
        <v>43191</v>
      </c>
      <c r="B5" s="7">
        <v>11244.63</v>
      </c>
      <c r="C5" s="7">
        <v>10472.933333333331</v>
      </c>
      <c r="D5" s="7">
        <v>13.912023810000001</v>
      </c>
      <c r="E5" s="8">
        <v>-9468.68</v>
      </c>
      <c r="F5" s="8">
        <v>12504.04</v>
      </c>
      <c r="G5" s="7">
        <v>16333294.869999999</v>
      </c>
      <c r="H5" s="8">
        <f t="shared" si="0"/>
        <v>0</v>
      </c>
      <c r="K5" s="8" t="s">
        <v>26</v>
      </c>
      <c r="L5" s="8">
        <f>AVERAGE(F2:F85)</f>
        <v>14235.096666666668</v>
      </c>
      <c r="M5" s="8">
        <f>_xlfn.STDEV.P(F2:F85)</f>
        <v>22063.783425042915</v>
      </c>
    </row>
    <row r="6" spans="1:13" x14ac:dyDescent="0.3">
      <c r="A6" s="6">
        <v>43221</v>
      </c>
      <c r="B6" s="7">
        <v>11227.57</v>
      </c>
      <c r="C6" s="7">
        <v>10664.447727272729</v>
      </c>
      <c r="D6" s="7">
        <v>13.57659091</v>
      </c>
      <c r="E6" s="8">
        <v>-2228.5300000000002</v>
      </c>
      <c r="F6" s="8">
        <v>2822.72</v>
      </c>
      <c r="G6" s="7">
        <v>19905195.239999998</v>
      </c>
      <c r="H6" s="8">
        <f t="shared" si="0"/>
        <v>0</v>
      </c>
      <c r="K6" s="8" t="s">
        <v>27</v>
      </c>
      <c r="L6" s="7">
        <f>AVERAGE(G2:G85)</f>
        <v>60297523.574642859</v>
      </c>
      <c r="M6" s="8">
        <f>_xlfn.STDEV.P(G2:G85)</f>
        <v>67756202.054366723</v>
      </c>
    </row>
    <row r="7" spans="1:13" x14ac:dyDescent="0.3">
      <c r="A7" s="6">
        <v>43252</v>
      </c>
      <c r="B7" s="7">
        <v>11224.18</v>
      </c>
      <c r="C7" s="7">
        <v>10742.97380952381</v>
      </c>
      <c r="D7" s="7">
        <v>12.82</v>
      </c>
      <c r="E7" s="8">
        <v>-2768.75</v>
      </c>
      <c r="F7" s="8">
        <v>3845.87</v>
      </c>
      <c r="G7" s="7">
        <v>19266500.129999999</v>
      </c>
      <c r="H7" s="8">
        <f t="shared" si="0"/>
        <v>0</v>
      </c>
    </row>
    <row r="8" spans="1:13" x14ac:dyDescent="0.3">
      <c r="A8" s="6">
        <v>43282</v>
      </c>
      <c r="B8" s="7">
        <v>11882.71</v>
      </c>
      <c r="C8" s="7">
        <v>10991.156818181817</v>
      </c>
      <c r="D8" s="7">
        <v>12.73079545</v>
      </c>
      <c r="E8" s="8">
        <v>-10249.17</v>
      </c>
      <c r="F8" s="8">
        <v>14146.15</v>
      </c>
      <c r="G8" s="7">
        <v>19385123.010000002</v>
      </c>
      <c r="H8" s="8">
        <f t="shared" si="0"/>
        <v>0</v>
      </c>
      <c r="K8" t="s">
        <v>30</v>
      </c>
    </row>
    <row r="9" spans="1:13" x14ac:dyDescent="0.3">
      <c r="A9" s="6">
        <v>43313</v>
      </c>
      <c r="B9" s="7">
        <v>12230.81</v>
      </c>
      <c r="C9" s="7">
        <v>11498.440476190477</v>
      </c>
      <c r="D9" s="7">
        <v>12.717380950000001</v>
      </c>
      <c r="E9" s="8">
        <v>-12359.71</v>
      </c>
      <c r="F9" s="8">
        <v>15054.48</v>
      </c>
      <c r="G9" s="7">
        <v>20078179.969999999</v>
      </c>
      <c r="H9" s="8">
        <f t="shared" si="0"/>
        <v>0</v>
      </c>
      <c r="K9" s="8" t="s">
        <v>28</v>
      </c>
      <c r="L9" s="8" t="s">
        <v>31</v>
      </c>
      <c r="M9" s="8" t="s">
        <v>32</v>
      </c>
    </row>
    <row r="10" spans="1:13" x14ac:dyDescent="0.3">
      <c r="A10" s="6">
        <v>43344</v>
      </c>
      <c r="B10" s="7">
        <v>11418.76</v>
      </c>
      <c r="C10" s="7">
        <v>11297.058333333332</v>
      </c>
      <c r="D10" s="7">
        <v>15.03486111</v>
      </c>
      <c r="E10" s="8">
        <v>-9620.56</v>
      </c>
      <c r="F10" s="8">
        <v>8663.8799999999992</v>
      </c>
      <c r="G10" s="7">
        <v>23209438.420000002</v>
      </c>
      <c r="H10" s="8">
        <f t="shared" si="0"/>
        <v>0</v>
      </c>
      <c r="K10" s="8" t="s">
        <v>25</v>
      </c>
      <c r="L10" s="8">
        <f>AVERAGEIF($H$2:$H$85,0,$E$2:$E$85)</f>
        <v>-7814.2747169811319</v>
      </c>
      <c r="M10" s="8">
        <f>AVERAGEIF($H$2:$H$85,1,$E$2:$E$85)</f>
        <v>-7887.9558064516123</v>
      </c>
    </row>
    <row r="11" spans="1:13" x14ac:dyDescent="0.3">
      <c r="A11" s="6">
        <v>43374</v>
      </c>
      <c r="B11" s="7">
        <v>10871.49</v>
      </c>
      <c r="C11" s="7">
        <v>10383.809523809523</v>
      </c>
      <c r="D11" s="7">
        <v>19.152619049999998</v>
      </c>
      <c r="E11" s="8">
        <v>7904.85</v>
      </c>
      <c r="F11" s="8">
        <v>6693.91</v>
      </c>
      <c r="G11" s="7">
        <v>23245250.670000002</v>
      </c>
      <c r="H11" s="8">
        <f t="shared" si="0"/>
        <v>1</v>
      </c>
      <c r="K11" s="8" t="s">
        <v>26</v>
      </c>
      <c r="L11" s="8">
        <f>AVERAGEIF($H$2:$H$85,0,$F$2:$F$85)</f>
        <v>16706.94962264151</v>
      </c>
      <c r="M11" s="8">
        <f>AVERAGEIF($H$2:$H$85,1,$F$2:$F$85)</f>
        <v>10009.025483870968</v>
      </c>
    </row>
    <row r="12" spans="1:13" x14ac:dyDescent="0.3">
      <c r="A12" s="6">
        <v>43405</v>
      </c>
      <c r="B12" s="7">
        <v>11364.07</v>
      </c>
      <c r="C12" s="7">
        <v>10621.7925</v>
      </c>
      <c r="D12" s="7">
        <v>18.829000000000001</v>
      </c>
      <c r="E12" s="8">
        <v>-18619.150000000001</v>
      </c>
      <c r="F12" s="8">
        <v>17813.009999999998</v>
      </c>
      <c r="G12" s="7">
        <v>18386201.91</v>
      </c>
      <c r="H12" s="8">
        <f t="shared" si="0"/>
        <v>1</v>
      </c>
      <c r="K12" s="8" t="s">
        <v>27</v>
      </c>
      <c r="L12" s="8">
        <f>AVERAGEIF($H$2:$H$85,0,$G$2:$G$85)</f>
        <v>36168901.264528297</v>
      </c>
      <c r="M12" s="8">
        <f>AVERAGEIF($H$2:$H$85,1,$G$2:$G$85)</f>
        <v>101549684.29838711</v>
      </c>
    </row>
    <row r="13" spans="1:13" x14ac:dyDescent="0.3">
      <c r="A13" s="6">
        <v>43435</v>
      </c>
      <c r="B13" s="7">
        <v>11367.43</v>
      </c>
      <c r="C13" s="7">
        <v>10778.442499999999</v>
      </c>
      <c r="D13" s="7">
        <v>16.531500000000001</v>
      </c>
      <c r="E13" s="8">
        <v>9568</v>
      </c>
      <c r="F13" s="8">
        <v>398.73</v>
      </c>
      <c r="G13" s="7">
        <v>19833818.77</v>
      </c>
      <c r="H13" s="8">
        <f t="shared" si="0"/>
        <v>0</v>
      </c>
    </row>
    <row r="14" spans="1:13" x14ac:dyDescent="0.3">
      <c r="A14" s="6">
        <v>43466</v>
      </c>
      <c r="B14" s="7">
        <v>11326.58</v>
      </c>
      <c r="C14" s="7">
        <v>10808.486363636364</v>
      </c>
      <c r="D14" s="7">
        <v>16.737065220000002</v>
      </c>
      <c r="E14" s="8">
        <v>127.67</v>
      </c>
      <c r="F14" s="8">
        <v>2146.8000000000002</v>
      </c>
      <c r="G14" s="7">
        <v>22832961.710000001</v>
      </c>
      <c r="H14" s="8">
        <f t="shared" si="0"/>
        <v>0</v>
      </c>
    </row>
    <row r="15" spans="1:13" x14ac:dyDescent="0.3">
      <c r="A15" s="6">
        <v>43497</v>
      </c>
      <c r="B15" s="7">
        <v>11262.85</v>
      </c>
      <c r="C15" s="7">
        <v>10835.762500000001</v>
      </c>
      <c r="D15" s="7">
        <v>16.404</v>
      </c>
      <c r="E15" s="8">
        <v>13564.57</v>
      </c>
      <c r="F15" s="8">
        <v>-565.89</v>
      </c>
      <c r="G15" s="7">
        <v>19686714.039999999</v>
      </c>
      <c r="H15" s="8">
        <f t="shared" si="0"/>
        <v>0</v>
      </c>
    </row>
    <row r="16" spans="1:13" x14ac:dyDescent="0.3">
      <c r="A16" s="6">
        <v>43525</v>
      </c>
      <c r="B16" s="7">
        <v>12090.72</v>
      </c>
      <c r="C16" s="7">
        <v>11273.484210526314</v>
      </c>
      <c r="D16" s="7">
        <v>15.989605259999999</v>
      </c>
      <c r="E16" s="8">
        <v>32371.43</v>
      </c>
      <c r="F16" s="8">
        <v>-13930.25</v>
      </c>
      <c r="G16" s="7">
        <v>22581719.859999999</v>
      </c>
      <c r="H16" s="8">
        <f t="shared" si="0"/>
        <v>0</v>
      </c>
    </row>
    <row r="17" spans="1:8" x14ac:dyDescent="0.3">
      <c r="A17" s="6">
        <v>43556</v>
      </c>
      <c r="B17" s="7">
        <v>12230.27</v>
      </c>
      <c r="C17" s="7">
        <v>11659.913157894736</v>
      </c>
      <c r="D17" s="7">
        <v>21.075263159999999</v>
      </c>
      <c r="E17" s="8">
        <v>12749.55</v>
      </c>
      <c r="F17" s="8">
        <v>-4219.46</v>
      </c>
      <c r="G17" s="7">
        <v>23270669.890000001</v>
      </c>
      <c r="H17" s="8">
        <f t="shared" si="0"/>
        <v>1</v>
      </c>
    </row>
    <row r="18" spans="1:8" x14ac:dyDescent="0.3">
      <c r="A18" s="6">
        <v>43586</v>
      </c>
      <c r="B18" s="7">
        <v>12416.37</v>
      </c>
      <c r="C18" s="7">
        <v>11584.084090909089</v>
      </c>
      <c r="D18" s="7">
        <v>23.216249999999999</v>
      </c>
      <c r="E18" s="8">
        <v>-2135.85</v>
      </c>
      <c r="F18" s="8">
        <v>5316.34</v>
      </c>
      <c r="G18" s="7">
        <v>26392563.16</v>
      </c>
      <c r="H18" s="8">
        <f t="shared" si="0"/>
        <v>1</v>
      </c>
    </row>
    <row r="19" spans="1:8" x14ac:dyDescent="0.3">
      <c r="A19" s="6">
        <v>43617</v>
      </c>
      <c r="B19" s="7">
        <v>12293.47</v>
      </c>
      <c r="C19" s="7">
        <v>11846.073684210527</v>
      </c>
      <c r="D19" s="7">
        <v>14.75210526</v>
      </c>
      <c r="E19" s="8">
        <v>-688.5</v>
      </c>
      <c r="F19" s="8">
        <v>3643.31</v>
      </c>
      <c r="G19" s="7">
        <v>25671934.32</v>
      </c>
      <c r="H19" s="8">
        <f t="shared" si="0"/>
        <v>0</v>
      </c>
    </row>
    <row r="20" spans="1:8" x14ac:dyDescent="0.3">
      <c r="A20" s="6">
        <v>43647</v>
      </c>
      <c r="B20" s="7">
        <v>11602.65</v>
      </c>
      <c r="C20" s="7">
        <v>11552.278260869563</v>
      </c>
      <c r="D20" s="7">
        <v>12.985217390000001</v>
      </c>
      <c r="E20" s="8">
        <v>-16870.13</v>
      </c>
      <c r="F20" s="8">
        <v>20394.52</v>
      </c>
      <c r="G20" s="7">
        <v>29343844.609999999</v>
      </c>
      <c r="H20" s="8">
        <f t="shared" si="0"/>
        <v>0</v>
      </c>
    </row>
    <row r="21" spans="1:8" x14ac:dyDescent="0.3">
      <c r="A21" s="6">
        <v>43678</v>
      </c>
      <c r="B21" s="7">
        <v>11528.28</v>
      </c>
      <c r="C21" s="7">
        <v>10981.237500000001</v>
      </c>
      <c r="D21" s="7">
        <v>16.486000000000001</v>
      </c>
      <c r="E21" s="8">
        <v>-14828.76</v>
      </c>
      <c r="F21" s="8">
        <v>20933.59</v>
      </c>
      <c r="G21" s="7">
        <v>31206432.350000001</v>
      </c>
      <c r="H21" s="8">
        <f t="shared" si="0"/>
        <v>0</v>
      </c>
    </row>
    <row r="22" spans="1:8" x14ac:dyDescent="0.3">
      <c r="A22" s="6">
        <v>43709</v>
      </c>
      <c r="B22" s="7">
        <v>11986.23</v>
      </c>
      <c r="C22" s="7">
        <v>11100.542105263161</v>
      </c>
      <c r="D22" s="7">
        <v>16.02</v>
      </c>
      <c r="E22" s="8">
        <v>-6624.05</v>
      </c>
      <c r="F22" s="8">
        <v>12490.81</v>
      </c>
      <c r="G22" s="7">
        <v>28574702.170000002</v>
      </c>
      <c r="H22" s="8">
        <f t="shared" si="0"/>
        <v>0</v>
      </c>
    </row>
    <row r="23" spans="1:8" x14ac:dyDescent="0.3">
      <c r="A23" s="6">
        <v>43739</v>
      </c>
      <c r="B23" s="7">
        <v>12439.27</v>
      </c>
      <c r="C23" s="7">
        <v>11470.055000000002</v>
      </c>
      <c r="D23" s="7">
        <v>16.684000000000001</v>
      </c>
      <c r="E23" s="8">
        <v>8595.66</v>
      </c>
      <c r="F23" s="8">
        <v>4758.4799999999996</v>
      </c>
      <c r="G23" s="7">
        <v>29027816.850000001</v>
      </c>
      <c r="H23" s="8">
        <f t="shared" si="0"/>
        <v>0</v>
      </c>
    </row>
    <row r="24" spans="1:8" x14ac:dyDescent="0.3">
      <c r="A24" s="6">
        <v>43770</v>
      </c>
      <c r="B24" s="7">
        <v>12605.82</v>
      </c>
      <c r="C24" s="7">
        <v>11955.202500000001</v>
      </c>
      <c r="D24" s="7">
        <v>15.316125</v>
      </c>
      <c r="E24" s="8">
        <v>12924.93</v>
      </c>
      <c r="F24" s="8">
        <v>-7970.29</v>
      </c>
      <c r="G24" s="7">
        <v>27369064.940000001</v>
      </c>
      <c r="H24" s="8">
        <f t="shared" si="0"/>
        <v>0</v>
      </c>
    </row>
    <row r="25" spans="1:8" x14ac:dyDescent="0.3">
      <c r="A25" s="6">
        <v>43800</v>
      </c>
      <c r="B25" s="7">
        <v>12736.31</v>
      </c>
      <c r="C25" s="7">
        <v>12091.528571428571</v>
      </c>
      <c r="D25" s="7">
        <v>12.836547619999999</v>
      </c>
      <c r="E25" s="8">
        <v>694.12</v>
      </c>
      <c r="F25" s="8">
        <v>-740.76</v>
      </c>
      <c r="G25" s="7">
        <v>28247951.379999999</v>
      </c>
      <c r="H25" s="8">
        <f t="shared" si="0"/>
        <v>0</v>
      </c>
    </row>
    <row r="26" spans="1:8" x14ac:dyDescent="0.3">
      <c r="A26" s="6">
        <v>43831</v>
      </c>
      <c r="B26" s="7">
        <v>12533.2</v>
      </c>
      <c r="C26" s="7">
        <v>12183.065217391302</v>
      </c>
      <c r="D26" s="7">
        <v>14.942826086956501</v>
      </c>
      <c r="E26" s="8">
        <v>-5359.51</v>
      </c>
      <c r="F26" s="8">
        <v>1073.49</v>
      </c>
      <c r="G26" s="7">
        <v>35288275.579999998</v>
      </c>
      <c r="H26" s="8">
        <f t="shared" si="0"/>
        <v>0</v>
      </c>
    </row>
    <row r="27" spans="1:8" x14ac:dyDescent="0.3">
      <c r="A27" s="6">
        <v>43862</v>
      </c>
      <c r="B27" s="7">
        <v>11728.36</v>
      </c>
      <c r="C27" s="7">
        <v>11934.472499999998</v>
      </c>
      <c r="D27" s="7">
        <v>15.359874999999999</v>
      </c>
      <c r="E27" s="8">
        <v>-12684.3</v>
      </c>
      <c r="F27" s="8">
        <v>16933.03</v>
      </c>
      <c r="G27" s="7">
        <v>35763137.170000002</v>
      </c>
      <c r="H27" s="8">
        <f t="shared" si="0"/>
        <v>0</v>
      </c>
    </row>
    <row r="28" spans="1:8" x14ac:dyDescent="0.3">
      <c r="A28" s="6">
        <v>43891</v>
      </c>
      <c r="B28" s="7">
        <v>9000.99</v>
      </c>
      <c r="C28" s="7">
        <v>9426.3119047619057</v>
      </c>
      <c r="D28" s="7">
        <v>53.063571428571429</v>
      </c>
      <c r="E28" s="8">
        <v>-65816.7</v>
      </c>
      <c r="F28" s="8">
        <v>55595.18</v>
      </c>
      <c r="G28" s="7">
        <v>23968171.75</v>
      </c>
      <c r="H28" s="8">
        <f t="shared" si="0"/>
        <v>1</v>
      </c>
    </row>
    <row r="29" spans="1:8" x14ac:dyDescent="0.3">
      <c r="A29" s="6">
        <v>43922</v>
      </c>
      <c r="B29" s="7">
        <v>10326.33</v>
      </c>
      <c r="C29" s="7">
        <v>9063.5833333333339</v>
      </c>
      <c r="D29" s="7">
        <v>45.003749999999997</v>
      </c>
      <c r="E29" s="8">
        <v>-5208.5</v>
      </c>
      <c r="F29" s="8">
        <v>-117</v>
      </c>
      <c r="G29" s="7">
        <v>18943089.440000001</v>
      </c>
      <c r="H29" s="8">
        <f t="shared" si="0"/>
        <v>1</v>
      </c>
    </row>
    <row r="30" spans="1:8" x14ac:dyDescent="0.3">
      <c r="A30" s="6">
        <v>43952</v>
      </c>
      <c r="B30" s="7">
        <v>10013.16</v>
      </c>
      <c r="C30" s="7">
        <v>9192.0131578947385</v>
      </c>
      <c r="D30" s="7">
        <v>36.982105263157905</v>
      </c>
      <c r="E30" s="8">
        <v>13914.49</v>
      </c>
      <c r="F30" s="8">
        <v>12293.19</v>
      </c>
      <c r="G30" s="7">
        <v>25386221.010000002</v>
      </c>
      <c r="H30" s="8">
        <f t="shared" si="0"/>
        <v>1</v>
      </c>
    </row>
    <row r="31" spans="1:8" x14ac:dyDescent="0.3">
      <c r="A31" s="6">
        <v>43983</v>
      </c>
      <c r="B31" s="7">
        <v>10768.19</v>
      </c>
      <c r="C31" s="7">
        <v>10116.454545454544</v>
      </c>
      <c r="D31" s="7">
        <v>30.23761363636363</v>
      </c>
      <c r="E31" s="8">
        <v>5492.95</v>
      </c>
      <c r="F31" s="8">
        <v>2434.4</v>
      </c>
      <c r="G31" s="7">
        <v>30252399.550000001</v>
      </c>
      <c r="H31" s="8">
        <f t="shared" si="0"/>
        <v>1</v>
      </c>
    </row>
    <row r="32" spans="1:8" x14ac:dyDescent="0.3">
      <c r="A32" s="6">
        <v>44013</v>
      </c>
      <c r="B32" s="7">
        <v>11618.98</v>
      </c>
      <c r="C32" s="7">
        <v>10897.695652173914</v>
      </c>
      <c r="D32" s="7">
        <v>25.184347826086952</v>
      </c>
      <c r="E32" s="8">
        <v>2490.19</v>
      </c>
      <c r="F32" s="8">
        <v>-10007.879999999999</v>
      </c>
      <c r="G32" s="7">
        <v>38103634.630000003</v>
      </c>
      <c r="H32" s="8">
        <f t="shared" si="0"/>
        <v>1</v>
      </c>
    </row>
    <row r="33" spans="1:8" x14ac:dyDescent="0.3">
      <c r="A33" s="6">
        <v>44044</v>
      </c>
      <c r="B33" s="7">
        <v>11927.59</v>
      </c>
      <c r="C33" s="7">
        <v>11318.566666666668</v>
      </c>
      <c r="D33" s="7">
        <v>21.210714285714285</v>
      </c>
      <c r="E33" s="8">
        <v>15749.86</v>
      </c>
      <c r="F33" s="8">
        <v>-11046.78</v>
      </c>
      <c r="G33" s="7">
        <v>38639563.450000003</v>
      </c>
      <c r="H33" s="8">
        <f t="shared" si="0"/>
        <v>1</v>
      </c>
    </row>
    <row r="34" spans="1:8" x14ac:dyDescent="0.3">
      <c r="A34" s="6">
        <v>44075</v>
      </c>
      <c r="B34" s="7">
        <v>11820.78</v>
      </c>
      <c r="C34" s="7">
        <v>11336.702272727271</v>
      </c>
      <c r="D34" s="7">
        <v>21.078977272727272</v>
      </c>
      <c r="E34" s="8">
        <v>-11410.69</v>
      </c>
      <c r="F34" s="8">
        <v>110.3</v>
      </c>
      <c r="G34" s="7">
        <v>51492601.049999997</v>
      </c>
      <c r="H34" s="8">
        <f t="shared" ref="H34:H65" si="1">IF(D34&gt;$L$3,1,0)</f>
        <v>1</v>
      </c>
    </row>
    <row r="35" spans="1:8" x14ac:dyDescent="0.3">
      <c r="A35" s="6">
        <v>44105</v>
      </c>
      <c r="B35" s="7">
        <v>12196.08</v>
      </c>
      <c r="C35" s="7">
        <v>11789.709523809524</v>
      </c>
      <c r="D35" s="7">
        <v>21.5825</v>
      </c>
      <c r="E35" s="8">
        <v>14537.4</v>
      </c>
      <c r="F35" s="8">
        <v>-17318.439999999999</v>
      </c>
      <c r="G35" s="7">
        <v>60358608.049999997</v>
      </c>
      <c r="H35" s="8">
        <f t="shared" si="1"/>
        <v>1</v>
      </c>
    </row>
    <row r="36" spans="1:8" x14ac:dyDescent="0.3">
      <c r="A36" s="6">
        <v>44136</v>
      </c>
      <c r="B36" s="7">
        <v>13552.6</v>
      </c>
      <c r="C36" s="7">
        <v>12602.3225</v>
      </c>
      <c r="D36" s="7">
        <v>21.011000000000003</v>
      </c>
      <c r="E36" s="8">
        <v>65317.13</v>
      </c>
      <c r="F36" s="8">
        <v>-48319.17</v>
      </c>
      <c r="G36" s="7">
        <v>58450590.560000002</v>
      </c>
      <c r="H36" s="8">
        <f t="shared" si="1"/>
        <v>1</v>
      </c>
    </row>
    <row r="37" spans="1:8" x14ac:dyDescent="0.3">
      <c r="A37" s="6">
        <v>44166</v>
      </c>
      <c r="B37" s="7">
        <v>14640.61</v>
      </c>
      <c r="C37" s="7">
        <v>13550.44090909091</v>
      </c>
      <c r="D37" s="7">
        <v>19.771363636363638</v>
      </c>
      <c r="E37" s="8">
        <v>48223.94</v>
      </c>
      <c r="F37" s="8">
        <v>-37293.53</v>
      </c>
      <c r="G37" s="7">
        <v>68715461.040000007</v>
      </c>
      <c r="H37" s="8">
        <f t="shared" si="1"/>
        <v>1</v>
      </c>
    </row>
    <row r="38" spans="1:8" x14ac:dyDescent="0.3">
      <c r="A38" s="6">
        <v>44197</v>
      </c>
      <c r="B38" s="7">
        <v>14287.7</v>
      </c>
      <c r="C38" s="7">
        <v>14284.602499999999</v>
      </c>
      <c r="D38" s="7">
        <v>25.34</v>
      </c>
      <c r="E38" s="8">
        <v>8980.81</v>
      </c>
      <c r="F38" s="8">
        <v>-11970.54</v>
      </c>
      <c r="G38" s="7">
        <v>78425626.959999993</v>
      </c>
      <c r="H38" s="8">
        <f t="shared" si="1"/>
        <v>1</v>
      </c>
    </row>
    <row r="39" spans="1:8" x14ac:dyDescent="0.3">
      <c r="A39" s="6">
        <v>44228</v>
      </c>
      <c r="B39" s="7">
        <v>15188.93</v>
      </c>
      <c r="C39" s="7">
        <v>14956.842499999999</v>
      </c>
      <c r="D39" s="7">
        <v>28.14</v>
      </c>
      <c r="E39" s="8">
        <v>42044.46</v>
      </c>
      <c r="F39" s="8">
        <v>-16358.1</v>
      </c>
      <c r="G39" s="7">
        <v>93663167.159999996</v>
      </c>
      <c r="H39" s="8">
        <f t="shared" si="1"/>
        <v>1</v>
      </c>
    </row>
    <row r="40" spans="1:8" x14ac:dyDescent="0.3">
      <c r="A40" s="6">
        <v>44256</v>
      </c>
      <c r="B40" s="7">
        <v>15372.5</v>
      </c>
      <c r="C40" s="7">
        <v>14835.099999999999</v>
      </c>
      <c r="D40" s="7">
        <v>20.65</v>
      </c>
      <c r="E40" s="8">
        <v>1245.22</v>
      </c>
      <c r="F40" s="8">
        <v>5204.42</v>
      </c>
      <c r="G40" s="7">
        <v>97975987.430000007</v>
      </c>
      <c r="H40" s="8">
        <f t="shared" si="1"/>
        <v>1</v>
      </c>
    </row>
    <row r="41" spans="1:8" x14ac:dyDescent="0.3">
      <c r="A41" s="6">
        <v>44287</v>
      </c>
      <c r="B41" s="7">
        <v>15322.41</v>
      </c>
      <c r="C41" s="7">
        <v>14613.852631578948</v>
      </c>
      <c r="D41" s="7">
        <v>23.03</v>
      </c>
      <c r="E41" s="8">
        <v>-12039.43</v>
      </c>
      <c r="F41" s="8">
        <v>11359.88</v>
      </c>
      <c r="G41" s="7">
        <v>93312391.849999994</v>
      </c>
      <c r="H41" s="8">
        <f t="shared" si="1"/>
        <v>1</v>
      </c>
    </row>
    <row r="42" spans="1:8" x14ac:dyDescent="0.3">
      <c r="A42" s="6">
        <v>44317</v>
      </c>
      <c r="B42" s="7">
        <v>16321.15</v>
      </c>
      <c r="C42" s="7">
        <v>14983.525</v>
      </c>
      <c r="D42" s="7">
        <v>17.399999999999999</v>
      </c>
      <c r="E42" s="8">
        <v>-6015.34</v>
      </c>
      <c r="F42" s="8">
        <v>2067.23</v>
      </c>
      <c r="G42" s="7">
        <v>94927122.959999993</v>
      </c>
      <c r="H42" s="8">
        <f t="shared" si="1"/>
        <v>0</v>
      </c>
    </row>
    <row r="43" spans="1:8" x14ac:dyDescent="0.3">
      <c r="A43" s="6">
        <v>44348</v>
      </c>
      <c r="B43" s="7">
        <v>16482.07</v>
      </c>
      <c r="C43" s="7">
        <v>15733.677272727275</v>
      </c>
      <c r="D43" s="7">
        <v>13.05</v>
      </c>
      <c r="E43" s="8">
        <v>-25.89</v>
      </c>
      <c r="F43" s="8">
        <v>7043.51</v>
      </c>
      <c r="G43" s="7">
        <v>96692147.459999993</v>
      </c>
      <c r="H43" s="8">
        <f t="shared" si="1"/>
        <v>0</v>
      </c>
    </row>
    <row r="44" spans="1:8" x14ac:dyDescent="0.3">
      <c r="A44" s="6">
        <v>44378</v>
      </c>
      <c r="B44" s="7">
        <v>16547.5</v>
      </c>
      <c r="C44" s="7">
        <v>15783.097619047621</v>
      </c>
      <c r="D44" s="7">
        <v>12.8</v>
      </c>
      <c r="E44" s="8">
        <v>-23193.39</v>
      </c>
      <c r="F44" s="8">
        <v>18393.919999999998</v>
      </c>
      <c r="G44" s="7">
        <v>115889993.06</v>
      </c>
      <c r="H44" s="8">
        <f t="shared" si="1"/>
        <v>0</v>
      </c>
    </row>
    <row r="45" spans="1:8" x14ac:dyDescent="0.3">
      <c r="A45" s="6">
        <v>44409</v>
      </c>
      <c r="B45" s="7">
        <v>17989.259999999998</v>
      </c>
      <c r="C45" s="7">
        <v>16470.459523809528</v>
      </c>
      <c r="D45" s="7">
        <v>14.52</v>
      </c>
      <c r="E45" s="8">
        <v>-2568.52</v>
      </c>
      <c r="F45" s="8">
        <v>6894.69</v>
      </c>
      <c r="G45" s="7">
        <v>110250209.65000001</v>
      </c>
      <c r="H45" s="8">
        <f t="shared" si="1"/>
        <v>0</v>
      </c>
    </row>
    <row r="46" spans="1:8" x14ac:dyDescent="0.3">
      <c r="A46" s="6">
        <v>44440</v>
      </c>
      <c r="B46" s="7">
        <v>18469.91</v>
      </c>
      <c r="C46" s="7">
        <v>17508.614285714284</v>
      </c>
      <c r="D46" s="7">
        <v>18.399999999999999</v>
      </c>
      <c r="E46" s="8">
        <v>913.77</v>
      </c>
      <c r="F46" s="8">
        <v>5948.85</v>
      </c>
      <c r="G46" s="7">
        <v>149224890.37</v>
      </c>
      <c r="H46" s="8">
        <f t="shared" si="1"/>
        <v>1</v>
      </c>
    </row>
    <row r="47" spans="1:8" x14ac:dyDescent="0.3">
      <c r="A47" s="6">
        <v>44470</v>
      </c>
      <c r="B47" s="7">
        <v>18517.39</v>
      </c>
      <c r="C47" s="7">
        <v>18020.220000000005</v>
      </c>
      <c r="D47" s="7">
        <v>17.43</v>
      </c>
      <c r="E47" s="8">
        <v>-25572.19</v>
      </c>
      <c r="F47" s="8">
        <v>4470.99</v>
      </c>
      <c r="G47" s="7">
        <v>141511127.25999999</v>
      </c>
      <c r="H47" s="8">
        <f t="shared" si="1"/>
        <v>0</v>
      </c>
    </row>
    <row r="48" spans="1:8" x14ac:dyDescent="0.3">
      <c r="A48" s="6">
        <v>44501</v>
      </c>
      <c r="B48" s="7">
        <v>17810.75</v>
      </c>
      <c r="C48" s="7">
        <v>17718.892500000002</v>
      </c>
      <c r="D48" s="7">
        <v>21.17</v>
      </c>
      <c r="E48" s="8">
        <v>-39901.919999999998</v>
      </c>
      <c r="F48" s="8">
        <v>30560.27</v>
      </c>
      <c r="G48" s="7">
        <v>152973110.56999999</v>
      </c>
      <c r="H48" s="8">
        <f t="shared" si="1"/>
        <v>1</v>
      </c>
    </row>
    <row r="49" spans="1:8" x14ac:dyDescent="0.3">
      <c r="A49" s="6">
        <v>44531</v>
      </c>
      <c r="B49" s="7">
        <v>18199.47</v>
      </c>
      <c r="C49" s="7">
        <v>17174.26956521739</v>
      </c>
      <c r="D49" s="7">
        <v>16.22</v>
      </c>
      <c r="E49" s="8">
        <v>-35493.589999999997</v>
      </c>
      <c r="F49" s="8">
        <v>31231.05</v>
      </c>
      <c r="G49" s="7">
        <v>181018353.25</v>
      </c>
      <c r="H49" s="8">
        <f t="shared" si="1"/>
        <v>0</v>
      </c>
    </row>
    <row r="50" spans="1:8" x14ac:dyDescent="0.3">
      <c r="A50" s="6">
        <v>44562</v>
      </c>
      <c r="B50" s="7">
        <v>18175.16</v>
      </c>
      <c r="C50" s="7">
        <v>17770.622500000001</v>
      </c>
      <c r="D50" s="7">
        <v>18.409624999999998</v>
      </c>
      <c r="E50" s="8">
        <v>-41346.35</v>
      </c>
      <c r="F50" s="8">
        <v>21928.400000000001</v>
      </c>
      <c r="G50" s="7">
        <v>175254530.56999999</v>
      </c>
      <c r="H50" s="8">
        <f t="shared" si="1"/>
        <v>1</v>
      </c>
    </row>
    <row r="51" spans="1:8" x14ac:dyDescent="0.3">
      <c r="A51" s="6">
        <v>44593</v>
      </c>
      <c r="B51" s="7">
        <v>17596.12</v>
      </c>
      <c r="C51" s="7">
        <v>17225.940000000002</v>
      </c>
      <c r="D51" s="7">
        <v>22.075250000000004</v>
      </c>
      <c r="E51" s="8">
        <v>-45720.07</v>
      </c>
      <c r="F51" s="8">
        <v>42084.07</v>
      </c>
      <c r="G51" s="7">
        <v>200557773.19</v>
      </c>
      <c r="H51" s="8">
        <f t="shared" si="1"/>
        <v>1</v>
      </c>
    </row>
    <row r="52" spans="1:8" x14ac:dyDescent="0.3">
      <c r="A52" s="6">
        <v>44621</v>
      </c>
      <c r="B52" s="7">
        <v>18299.21</v>
      </c>
      <c r="C52" s="7">
        <v>16864.673809523807</v>
      </c>
      <c r="D52" s="7">
        <v>25.079761904761909</v>
      </c>
      <c r="E52" s="8">
        <v>-43281.31</v>
      </c>
      <c r="F52" s="8">
        <v>39677.03</v>
      </c>
      <c r="G52" s="7">
        <v>187008999.80000001</v>
      </c>
      <c r="H52" s="8">
        <f t="shared" si="1"/>
        <v>1</v>
      </c>
    </row>
    <row r="53" spans="1:8" x14ac:dyDescent="0.3">
      <c r="A53" s="6">
        <v>44652</v>
      </c>
      <c r="B53" s="7">
        <v>17919.259999999998</v>
      </c>
      <c r="C53" s="7">
        <v>17419.360526315788</v>
      </c>
      <c r="D53" s="7">
        <v>18.87263157894737</v>
      </c>
      <c r="E53" s="8">
        <v>-40652.71</v>
      </c>
      <c r="F53" s="8">
        <v>29869.52</v>
      </c>
      <c r="G53" s="7">
        <v>192502411.69999999</v>
      </c>
      <c r="H53" s="8">
        <f t="shared" si="1"/>
        <v>1</v>
      </c>
    </row>
    <row r="54" spans="1:8" x14ac:dyDescent="0.3">
      <c r="A54" s="6">
        <v>44682</v>
      </c>
      <c r="B54" s="7">
        <v>17388.830000000002</v>
      </c>
      <c r="C54" s="7">
        <v>16271.019047619049</v>
      </c>
      <c r="D54" s="7">
        <v>22.608690476190482</v>
      </c>
      <c r="E54" s="8">
        <v>-54292.47</v>
      </c>
      <c r="F54" s="8">
        <v>50835.54</v>
      </c>
      <c r="G54" s="7">
        <v>212279576.15000001</v>
      </c>
      <c r="H54" s="8">
        <f t="shared" si="1"/>
        <v>1</v>
      </c>
    </row>
    <row r="55" spans="1:8" x14ac:dyDescent="0.3">
      <c r="A55" s="6">
        <v>44713</v>
      </c>
      <c r="B55" s="7">
        <v>16554.099999999999</v>
      </c>
      <c r="C55" s="7">
        <v>15933.163636363635</v>
      </c>
      <c r="D55" s="7">
        <v>21.128409090909091</v>
      </c>
      <c r="E55" s="8">
        <v>-58112.37</v>
      </c>
      <c r="F55" s="8">
        <v>46599.23</v>
      </c>
      <c r="G55" s="7">
        <v>219486616.02000001</v>
      </c>
      <c r="H55" s="8">
        <f t="shared" si="1"/>
        <v>1</v>
      </c>
    </row>
    <row r="56" spans="1:8" x14ac:dyDescent="0.3">
      <c r="A56" s="6">
        <v>44743</v>
      </c>
      <c r="B56" s="7">
        <v>18021.3</v>
      </c>
      <c r="C56" s="7">
        <v>16299.021428571426</v>
      </c>
      <c r="D56" s="7">
        <v>18.308690476190478</v>
      </c>
      <c r="E56" s="8">
        <v>-6567.71</v>
      </c>
      <c r="F56" s="8">
        <v>10546.02</v>
      </c>
      <c r="G56" s="7">
        <v>235717204.52000001</v>
      </c>
      <c r="H56" s="8">
        <f t="shared" si="1"/>
        <v>1</v>
      </c>
    </row>
    <row r="57" spans="1:8" x14ac:dyDescent="0.3">
      <c r="A57" s="6">
        <v>44774</v>
      </c>
      <c r="B57" s="7">
        <v>18682.96</v>
      </c>
      <c r="C57" s="7">
        <v>17579.065000000006</v>
      </c>
      <c r="D57" s="7">
        <v>18.565624999999997</v>
      </c>
      <c r="E57" s="8">
        <v>22025.62</v>
      </c>
      <c r="F57" s="8">
        <v>-7068.63</v>
      </c>
      <c r="G57" s="7">
        <v>274756997.57999998</v>
      </c>
      <c r="H57" s="8">
        <f t="shared" si="1"/>
        <v>1</v>
      </c>
    </row>
    <row r="58" spans="1:8" x14ac:dyDescent="0.3">
      <c r="A58" s="6">
        <v>44805</v>
      </c>
      <c r="B58" s="7">
        <v>18011.55</v>
      </c>
      <c r="C58" s="7">
        <v>17544.877272727266</v>
      </c>
      <c r="D58" s="7">
        <v>19.554318181818179</v>
      </c>
      <c r="E58" s="8">
        <v>-18308.3</v>
      </c>
      <c r="F58" s="8">
        <v>14119.75</v>
      </c>
      <c r="G58" s="7">
        <v>251445700.28999999</v>
      </c>
      <c r="H58" s="8">
        <f t="shared" si="1"/>
        <v>1</v>
      </c>
    </row>
    <row r="59" spans="1:8" x14ac:dyDescent="0.3">
      <c r="A59" s="6">
        <v>44835</v>
      </c>
      <c r="B59" s="7">
        <v>18969.25</v>
      </c>
      <c r="C59" s="7">
        <v>17406.873684210528</v>
      </c>
      <c r="D59" s="7">
        <v>18.336447368421059</v>
      </c>
      <c r="E59" s="8">
        <v>-489.06</v>
      </c>
      <c r="F59" s="8">
        <v>9276.9699999999993</v>
      </c>
      <c r="G59" s="7">
        <v>4486480.13</v>
      </c>
      <c r="H59" s="8">
        <f t="shared" si="1"/>
        <v>1</v>
      </c>
    </row>
    <row r="60" spans="1:8" x14ac:dyDescent="0.3">
      <c r="A60" s="6">
        <v>44866</v>
      </c>
      <c r="B60" s="7">
        <v>19740.64</v>
      </c>
      <c r="C60" s="7">
        <v>18311.283333333333</v>
      </c>
      <c r="D60" s="7">
        <v>14.774047619047618</v>
      </c>
      <c r="E60" s="8">
        <v>22546.34</v>
      </c>
      <c r="F60" s="8">
        <v>-6301.32</v>
      </c>
      <c r="G60" s="7">
        <v>5379960.6699999999</v>
      </c>
      <c r="H60" s="8">
        <f t="shared" si="1"/>
        <v>0</v>
      </c>
    </row>
    <row r="61" spans="1:8" x14ac:dyDescent="0.3">
      <c r="A61" s="6">
        <v>44896</v>
      </c>
      <c r="B61" s="7">
        <v>19058.93</v>
      </c>
      <c r="C61" s="7">
        <v>18385.131818181813</v>
      </c>
      <c r="D61" s="7">
        <v>14.225681818181817</v>
      </c>
      <c r="E61" s="8">
        <v>-14231.09</v>
      </c>
      <c r="F61" s="8">
        <v>24159.13</v>
      </c>
      <c r="G61" s="7">
        <v>5071989.45</v>
      </c>
      <c r="H61" s="8">
        <f t="shared" si="1"/>
        <v>0</v>
      </c>
    </row>
    <row r="62" spans="1:8" x14ac:dyDescent="0.3">
      <c r="A62" s="6">
        <v>44927</v>
      </c>
      <c r="B62" s="7">
        <v>18592.13</v>
      </c>
      <c r="C62" s="8">
        <v>17969</v>
      </c>
      <c r="D62" s="7">
        <v>15.008333333333335</v>
      </c>
      <c r="E62" s="8">
        <v>-41464.730000000003</v>
      </c>
      <c r="F62" s="8">
        <v>33411.85</v>
      </c>
      <c r="G62" s="7">
        <v>2213003.34</v>
      </c>
      <c r="H62" s="8">
        <f t="shared" si="1"/>
        <v>0</v>
      </c>
    </row>
    <row r="63" spans="1:8" x14ac:dyDescent="0.3">
      <c r="A63" s="6">
        <v>44958</v>
      </c>
      <c r="B63" s="7">
        <v>18192.14</v>
      </c>
      <c r="C63" s="8">
        <v>17739</v>
      </c>
      <c r="D63" s="7">
        <v>14.060124999999999</v>
      </c>
      <c r="E63" s="8">
        <v>-11090.64</v>
      </c>
      <c r="F63" s="8">
        <v>19239.28</v>
      </c>
      <c r="G63" s="7">
        <v>2772619.51</v>
      </c>
      <c r="H63" s="8">
        <f t="shared" si="1"/>
        <v>0</v>
      </c>
    </row>
    <row r="64" spans="1:8" x14ac:dyDescent="0.3">
      <c r="A64" s="6">
        <v>44986</v>
      </c>
      <c r="B64" s="7">
        <v>18256.53</v>
      </c>
      <c r="C64" s="8">
        <v>17226</v>
      </c>
      <c r="D64" s="7">
        <v>14.35464285714286</v>
      </c>
      <c r="E64" s="8">
        <v>1997.7</v>
      </c>
      <c r="F64" s="8">
        <v>30548.77</v>
      </c>
      <c r="G64" s="7">
        <v>2525378.0499999998</v>
      </c>
      <c r="H64" s="8">
        <f t="shared" si="1"/>
        <v>0</v>
      </c>
    </row>
    <row r="65" spans="1:8" x14ac:dyDescent="0.3">
      <c r="A65" s="6">
        <v>45017</v>
      </c>
      <c r="B65" s="7">
        <v>18984.02</v>
      </c>
      <c r="C65" s="8">
        <v>17711</v>
      </c>
      <c r="D65" s="7">
        <v>11.911617647058824</v>
      </c>
      <c r="E65" s="8">
        <v>5711.8</v>
      </c>
      <c r="F65" s="8">
        <v>2216.5700000000002</v>
      </c>
      <c r="G65" s="7">
        <v>1894750.71</v>
      </c>
      <c r="H65" s="8">
        <f t="shared" si="1"/>
        <v>0</v>
      </c>
    </row>
    <row r="66" spans="1:8" x14ac:dyDescent="0.3">
      <c r="A66" s="6">
        <v>45047</v>
      </c>
      <c r="B66" s="7">
        <v>19475.939999999999</v>
      </c>
      <c r="C66" s="8">
        <v>18307</v>
      </c>
      <c r="D66" s="7">
        <v>12.540113636363635</v>
      </c>
      <c r="E66" s="8">
        <v>27856.48</v>
      </c>
      <c r="F66" s="8">
        <v>-3306.35</v>
      </c>
      <c r="G66" s="7">
        <v>2806373.28</v>
      </c>
      <c r="H66" s="8">
        <f t="shared" ref="H66:H85" si="2">IF(D66&gt;$L$3,1,0)</f>
        <v>0</v>
      </c>
    </row>
    <row r="67" spans="1:8" x14ac:dyDescent="0.3">
      <c r="A67" s="6">
        <v>45078</v>
      </c>
      <c r="B67" s="7">
        <v>20144.259999999998</v>
      </c>
      <c r="C67" s="8">
        <v>18727</v>
      </c>
      <c r="D67" s="7">
        <v>11.180476190476192</v>
      </c>
      <c r="E67" s="8">
        <v>27250.01</v>
      </c>
      <c r="F67" s="8">
        <v>4458.2299999999996</v>
      </c>
      <c r="G67" s="7">
        <v>18041131.579999998</v>
      </c>
      <c r="H67" s="8">
        <f t="shared" si="2"/>
        <v>0</v>
      </c>
    </row>
    <row r="68" spans="1:8" x14ac:dyDescent="0.3">
      <c r="A68" s="6">
        <v>45108</v>
      </c>
      <c r="B68" s="7">
        <v>20724.91</v>
      </c>
      <c r="C68" s="8">
        <v>19586</v>
      </c>
      <c r="D68" s="7">
        <v>11.182500000000001</v>
      </c>
      <c r="E68" s="8">
        <v>13922.01</v>
      </c>
      <c r="F68" s="8">
        <v>-1184.33</v>
      </c>
      <c r="G68" s="7">
        <v>33809147.869999997</v>
      </c>
      <c r="H68" s="8">
        <f t="shared" si="2"/>
        <v>0</v>
      </c>
    </row>
    <row r="69" spans="1:8" x14ac:dyDescent="0.3">
      <c r="A69" s="6">
        <v>45139</v>
      </c>
      <c r="B69" s="7">
        <v>20203.2</v>
      </c>
      <c r="C69" s="8">
        <v>19438</v>
      </c>
      <c r="D69" s="7">
        <v>11.63693181818182</v>
      </c>
      <c r="E69" s="8">
        <v>-20620.650000000001</v>
      </c>
      <c r="F69" s="8">
        <v>25016.95</v>
      </c>
      <c r="G69" s="7">
        <v>33222913.82</v>
      </c>
      <c r="H69" s="8">
        <f t="shared" si="2"/>
        <v>0</v>
      </c>
    </row>
    <row r="70" spans="1:8" x14ac:dyDescent="0.3">
      <c r="A70" s="6">
        <v>45170</v>
      </c>
      <c r="B70" s="7">
        <v>20591.259999999998</v>
      </c>
      <c r="C70" s="8">
        <v>19786</v>
      </c>
      <c r="D70" s="7">
        <v>11.197125</v>
      </c>
      <c r="E70" s="8">
        <v>-26692.16</v>
      </c>
      <c r="F70" s="8">
        <v>20312.650000000001</v>
      </c>
      <c r="G70" s="7">
        <v>55738808.399999999</v>
      </c>
      <c r="H70" s="8">
        <f t="shared" si="2"/>
        <v>0</v>
      </c>
    </row>
    <row r="71" spans="1:8" x14ac:dyDescent="0.3">
      <c r="A71" s="6">
        <v>45200</v>
      </c>
      <c r="B71" s="7">
        <v>20001.52</v>
      </c>
      <c r="C71" s="8">
        <v>19482</v>
      </c>
      <c r="D71" s="7">
        <v>11.109249999999999</v>
      </c>
      <c r="E71" s="8">
        <v>-29056.61</v>
      </c>
      <c r="F71" s="8">
        <v>25105.86</v>
      </c>
      <c r="G71" s="7">
        <v>68991523.209999993</v>
      </c>
      <c r="H71" s="8">
        <f t="shared" si="2"/>
        <v>0</v>
      </c>
    </row>
    <row r="72" spans="1:8" x14ac:dyDescent="0.3">
      <c r="A72" s="6">
        <v>45231</v>
      </c>
      <c r="B72" s="7">
        <v>21087.38</v>
      </c>
      <c r="C72" s="8">
        <v>19599</v>
      </c>
      <c r="D72" s="7">
        <v>11.573214285714286</v>
      </c>
      <c r="E72" s="8">
        <v>3901.82</v>
      </c>
      <c r="F72" s="8">
        <v>12720.36</v>
      </c>
      <c r="G72" s="7">
        <v>82489771.099999994</v>
      </c>
      <c r="H72" s="8">
        <f t="shared" si="2"/>
        <v>0</v>
      </c>
    </row>
    <row r="73" spans="1:8" x14ac:dyDescent="0.3">
      <c r="A73" s="6">
        <v>45261</v>
      </c>
      <c r="B73" s="7">
        <v>22759.31</v>
      </c>
      <c r="C73" s="8">
        <v>21166</v>
      </c>
      <c r="D73" s="7">
        <v>13.512874999999999</v>
      </c>
      <c r="E73" s="8">
        <v>31959.78</v>
      </c>
      <c r="F73" s="8">
        <v>12942.25</v>
      </c>
      <c r="G73" s="7">
        <v>149197173.91999999</v>
      </c>
      <c r="H73" s="8">
        <f t="shared" si="2"/>
        <v>0</v>
      </c>
    </row>
    <row r="74" spans="1:8" x14ac:dyDescent="0.3">
      <c r="A74" s="6">
        <v>45292</v>
      </c>
      <c r="B74" s="7">
        <v>22769.07</v>
      </c>
      <c r="C74" s="7">
        <v>21631.893181818181</v>
      </c>
      <c r="D74" s="7">
        <v>14.090454545454547</v>
      </c>
      <c r="E74" s="8">
        <v>-35977.870000000003</v>
      </c>
      <c r="F74" s="8">
        <v>26743.63</v>
      </c>
      <c r="G74" s="7">
        <v>89100210.560000002</v>
      </c>
      <c r="H74" s="8">
        <f t="shared" si="2"/>
        <v>0</v>
      </c>
    </row>
    <row r="75" spans="1:8" x14ac:dyDescent="0.3">
      <c r="A75" s="6">
        <v>45323</v>
      </c>
      <c r="B75" s="7">
        <v>23078.720000000001</v>
      </c>
      <c r="C75" s="7">
        <v>21947.278571428571</v>
      </c>
      <c r="D75" s="7">
        <v>15.547857142857143</v>
      </c>
      <c r="E75" s="8">
        <v>-15962.72</v>
      </c>
      <c r="F75" s="8">
        <v>25379.3</v>
      </c>
      <c r="G75" s="7">
        <v>4622422.66</v>
      </c>
      <c r="H75" s="8">
        <f t="shared" si="2"/>
        <v>0</v>
      </c>
    </row>
    <row r="76" spans="1:8" x14ac:dyDescent="0.3">
      <c r="A76" s="6">
        <v>45352</v>
      </c>
      <c r="B76" s="7">
        <v>23440.799999999999</v>
      </c>
      <c r="C76" s="7">
        <v>22187.310526315792</v>
      </c>
      <c r="D76" s="7">
        <v>13.688333333333334</v>
      </c>
      <c r="E76" s="8">
        <v>3314.47</v>
      </c>
      <c r="F76" s="8">
        <v>56311.6</v>
      </c>
      <c r="G76" s="7">
        <v>3455293.12</v>
      </c>
      <c r="H76" s="8">
        <f t="shared" si="2"/>
        <v>0</v>
      </c>
    </row>
    <row r="77" spans="1:8" x14ac:dyDescent="0.3">
      <c r="A77" s="6">
        <v>45383</v>
      </c>
      <c r="B77" s="7">
        <v>23721.3</v>
      </c>
      <c r="C77" s="7">
        <v>22443.4575</v>
      </c>
      <c r="D77" s="7">
        <v>11.739000000000001</v>
      </c>
      <c r="E77" s="8">
        <v>-35692.19</v>
      </c>
      <c r="F77" s="8">
        <v>44186.28</v>
      </c>
      <c r="G77" s="7">
        <v>27572193.82</v>
      </c>
      <c r="H77" s="8">
        <f t="shared" si="2"/>
        <v>0</v>
      </c>
    </row>
    <row r="78" spans="1:8" x14ac:dyDescent="0.3">
      <c r="A78" s="6">
        <v>45413</v>
      </c>
      <c r="B78" s="7">
        <v>23715.64</v>
      </c>
      <c r="C78" s="7">
        <v>22485.231818181819</v>
      </c>
      <c r="D78" s="7">
        <v>20.159772727272728</v>
      </c>
      <c r="E78" s="8">
        <v>-42214.28</v>
      </c>
      <c r="F78" s="8">
        <v>55733.04</v>
      </c>
      <c r="G78" s="7">
        <v>23363722.800000001</v>
      </c>
      <c r="H78" s="8">
        <f t="shared" si="2"/>
        <v>1</v>
      </c>
    </row>
    <row r="79" spans="1:8" x14ac:dyDescent="0.3">
      <c r="A79" s="6">
        <v>45444</v>
      </c>
      <c r="B79" s="7">
        <v>25240.71</v>
      </c>
      <c r="C79" s="7">
        <v>23364.044736842101</v>
      </c>
      <c r="D79" s="7">
        <v>15.562368421052632</v>
      </c>
      <c r="E79" s="8">
        <v>2037.47</v>
      </c>
      <c r="F79" s="8">
        <v>28633.15</v>
      </c>
      <c r="G79" s="7">
        <v>5176311.97</v>
      </c>
      <c r="H79" s="8">
        <f t="shared" si="2"/>
        <v>0</v>
      </c>
    </row>
    <row r="80" spans="1:8" x14ac:dyDescent="0.3">
      <c r="A80" s="6">
        <v>45474</v>
      </c>
      <c r="B80" s="7">
        <v>26231.91</v>
      </c>
      <c r="C80" s="7">
        <v>24495.152272727271</v>
      </c>
      <c r="D80" s="7">
        <v>13.540454545454542</v>
      </c>
      <c r="E80" s="8">
        <v>5407.83</v>
      </c>
      <c r="F80" s="8">
        <v>23486.02</v>
      </c>
      <c r="G80" s="7">
        <v>4991692.1500000004</v>
      </c>
      <c r="H80" s="8">
        <f t="shared" si="2"/>
        <v>0</v>
      </c>
    </row>
    <row r="81" spans="1:8" x14ac:dyDescent="0.3">
      <c r="A81" s="6">
        <v>45505</v>
      </c>
      <c r="B81" s="7">
        <v>26544.73</v>
      </c>
      <c r="C81" s="7">
        <v>24613.073809523812</v>
      </c>
      <c r="D81" s="7">
        <v>14.900833333333335</v>
      </c>
      <c r="E81" s="8">
        <v>-20339.259999999998</v>
      </c>
      <c r="F81" s="8">
        <v>50174.86</v>
      </c>
      <c r="G81" s="7">
        <v>21888498.129999999</v>
      </c>
      <c r="H81" s="8">
        <f t="shared" si="2"/>
        <v>0</v>
      </c>
    </row>
    <row r="82" spans="1:8" x14ac:dyDescent="0.3">
      <c r="A82" s="6">
        <v>45536</v>
      </c>
      <c r="B82" s="7">
        <v>27133.919999999998</v>
      </c>
      <c r="C82" s="7">
        <v>25470.090476190479</v>
      </c>
      <c r="D82" s="7">
        <v>13.286547619047621</v>
      </c>
      <c r="E82" s="8">
        <v>12611.79</v>
      </c>
      <c r="F82" s="8">
        <v>30857.3</v>
      </c>
      <c r="G82" s="7">
        <v>8384974.8499999996</v>
      </c>
      <c r="H82" s="8">
        <f t="shared" si="2"/>
        <v>0</v>
      </c>
    </row>
    <row r="83" spans="1:8" x14ac:dyDescent="0.3">
      <c r="A83" s="6">
        <v>45566</v>
      </c>
      <c r="B83" s="7">
        <v>25451.599999999999</v>
      </c>
      <c r="C83" s="7">
        <v>24781.670454545456</v>
      </c>
      <c r="D83" s="7">
        <v>13.932386363636363</v>
      </c>
      <c r="E83" s="8">
        <v>-114445.89</v>
      </c>
      <c r="F83" s="8">
        <v>107254.68</v>
      </c>
      <c r="G83" s="7">
        <v>8361146.3700000001</v>
      </c>
      <c r="H83" s="8">
        <f t="shared" si="2"/>
        <v>0</v>
      </c>
    </row>
    <row r="84" spans="1:8" x14ac:dyDescent="0.3">
      <c r="A84" s="6">
        <v>45597</v>
      </c>
      <c r="B84" s="7">
        <v>25393.48</v>
      </c>
      <c r="C84" s="7">
        <v>23969.847368421058</v>
      </c>
      <c r="D84" s="7">
        <v>15.254736842105265</v>
      </c>
      <c r="E84" s="8">
        <v>-45974.12</v>
      </c>
      <c r="F84" s="8">
        <v>44483.86</v>
      </c>
      <c r="G84" s="7">
        <v>6605889.7000000002</v>
      </c>
      <c r="H84" s="8">
        <f t="shared" si="2"/>
        <v>0</v>
      </c>
    </row>
    <row r="85" spans="1:8" x14ac:dyDescent="0.3">
      <c r="A85" s="6">
        <v>45627</v>
      </c>
      <c r="B85" s="7">
        <v>24862.9</v>
      </c>
      <c r="C85" s="7">
        <v>24231.019047619047</v>
      </c>
      <c r="D85" s="7">
        <v>14.020714285714288</v>
      </c>
      <c r="E85" s="8">
        <v>-16982.48</v>
      </c>
      <c r="F85" s="8">
        <v>34194.730000000003</v>
      </c>
      <c r="G85" s="7">
        <v>6918280.5099999998</v>
      </c>
      <c r="H85" s="8">
        <f t="shared" si="2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3402-9D4C-43A7-903A-55A90F5072C2}">
  <dimension ref="A1:U109"/>
  <sheetViews>
    <sheetView topLeftCell="L1" workbookViewId="0">
      <selection activeCell="N11" sqref="N11:O18"/>
    </sheetView>
  </sheetViews>
  <sheetFormatPr defaultRowHeight="14.4" x14ac:dyDescent="0.3"/>
  <cols>
    <col min="5" max="5" width="10.44140625" customWidth="1"/>
    <col min="8" max="8" width="17.109375" customWidth="1"/>
    <col min="9" max="9" width="17.77734375" customWidth="1"/>
    <col min="12" max="12" width="25.6640625" customWidth="1"/>
    <col min="15" max="15" width="22.44140625" customWidth="1"/>
    <col min="21" max="21" width="18.109375" customWidth="1"/>
  </cols>
  <sheetData>
    <row r="1" spans="2:21" x14ac:dyDescent="0.3">
      <c r="B1" s="14" t="s">
        <v>1</v>
      </c>
      <c r="C1" s="15" t="s">
        <v>19</v>
      </c>
      <c r="D1" s="15" t="s">
        <v>20</v>
      </c>
      <c r="E1" s="15" t="s">
        <v>4</v>
      </c>
      <c r="F1" s="15" t="s">
        <v>17</v>
      </c>
      <c r="G1" s="15" t="s">
        <v>18</v>
      </c>
      <c r="H1" s="15" t="s">
        <v>7</v>
      </c>
      <c r="I1" s="16" t="s">
        <v>21</v>
      </c>
      <c r="K1" s="8" t="s">
        <v>8</v>
      </c>
      <c r="N1" s="8" t="s">
        <v>55</v>
      </c>
    </row>
    <row r="2" spans="2:21" x14ac:dyDescent="0.3">
      <c r="B2" s="12">
        <v>43101</v>
      </c>
      <c r="C2" s="7">
        <v>11506.88</v>
      </c>
      <c r="D2" s="7">
        <v>10771.154545454547</v>
      </c>
      <c r="E2" s="7">
        <v>14.73363636</v>
      </c>
      <c r="F2" s="8">
        <v>-1103.3699999999999</v>
      </c>
      <c r="G2" s="8">
        <v>375.55</v>
      </c>
      <c r="H2" s="7">
        <v>16947159.460000001</v>
      </c>
      <c r="I2" s="13">
        <v>0</v>
      </c>
      <c r="K2" s="8" t="s">
        <v>1</v>
      </c>
      <c r="L2" s="8" t="s">
        <v>9</v>
      </c>
      <c r="N2" s="8" t="s">
        <v>1</v>
      </c>
      <c r="O2" s="8" t="s">
        <v>19</v>
      </c>
      <c r="P2" s="8" t="s">
        <v>20</v>
      </c>
      <c r="Q2" s="8" t="s">
        <v>4</v>
      </c>
      <c r="R2" s="8" t="s">
        <v>17</v>
      </c>
      <c r="S2" s="8" t="s">
        <v>18</v>
      </c>
      <c r="T2" s="8" t="s">
        <v>7</v>
      </c>
      <c r="U2" s="8" t="s">
        <v>21</v>
      </c>
    </row>
    <row r="3" spans="2:21" x14ac:dyDescent="0.3">
      <c r="B3" s="12">
        <v>43132</v>
      </c>
      <c r="C3" s="7">
        <v>10959.52</v>
      </c>
      <c r="D3" s="7">
        <v>10533.105263157895</v>
      </c>
      <c r="E3" s="7">
        <v>16.292894740000001</v>
      </c>
      <c r="F3" s="8">
        <v>4934.1099999999997</v>
      </c>
      <c r="G3" s="8">
        <v>1309.47</v>
      </c>
      <c r="H3" s="7">
        <v>16748057.109999999</v>
      </c>
      <c r="I3" s="13">
        <v>0</v>
      </c>
      <c r="K3" s="9">
        <v>45918</v>
      </c>
      <c r="L3" s="8" t="s">
        <v>10</v>
      </c>
      <c r="N3" s="8" t="s">
        <v>48</v>
      </c>
      <c r="O3" s="8">
        <v>11418.76</v>
      </c>
      <c r="P3" s="8">
        <v>11297.058333333332</v>
      </c>
      <c r="Q3" s="8">
        <v>15.03486111</v>
      </c>
      <c r="R3" s="8">
        <v>-9620.56</v>
      </c>
      <c r="S3" s="8">
        <v>8663.8799999999992</v>
      </c>
      <c r="T3" s="8">
        <v>23209438.420000002</v>
      </c>
      <c r="U3" s="8">
        <v>0</v>
      </c>
    </row>
    <row r="4" spans="2:21" x14ac:dyDescent="0.3">
      <c r="B4" s="12">
        <v>43160</v>
      </c>
      <c r="C4" s="7">
        <v>10591.7</v>
      </c>
      <c r="D4" s="7">
        <v>10232.61842105263</v>
      </c>
      <c r="E4" s="7">
        <v>15.11684211</v>
      </c>
      <c r="F4" s="8">
        <v>-29201.200000000001</v>
      </c>
      <c r="G4" s="8">
        <v>26033.9</v>
      </c>
      <c r="H4" s="7">
        <v>18130032.670000002</v>
      </c>
      <c r="I4" s="13">
        <v>0</v>
      </c>
      <c r="K4" s="9">
        <v>45735</v>
      </c>
      <c r="L4" s="8" t="s">
        <v>11</v>
      </c>
      <c r="N4" s="8" t="s">
        <v>49</v>
      </c>
      <c r="O4" s="8">
        <v>12090.72</v>
      </c>
      <c r="P4" s="8">
        <v>11273.484210526314</v>
      </c>
      <c r="Q4" s="8">
        <v>15.989605259999999</v>
      </c>
      <c r="R4" s="8">
        <v>32371.43</v>
      </c>
      <c r="S4" s="8">
        <v>-13930.25</v>
      </c>
      <c r="T4" s="8">
        <v>22581719.859999999</v>
      </c>
      <c r="U4" s="8">
        <v>0</v>
      </c>
    </row>
    <row r="5" spans="2:21" x14ac:dyDescent="0.3">
      <c r="B5" s="12">
        <v>43191</v>
      </c>
      <c r="C5" s="7">
        <v>11244.63</v>
      </c>
      <c r="D5" s="7">
        <v>10472.933333333331</v>
      </c>
      <c r="E5" s="7">
        <v>13.912023810000001</v>
      </c>
      <c r="F5" s="8">
        <v>-9468.68</v>
      </c>
      <c r="G5" s="8">
        <v>12504.04</v>
      </c>
      <c r="H5" s="7">
        <v>16333294.869999999</v>
      </c>
      <c r="I5" s="13">
        <v>0</v>
      </c>
      <c r="K5" s="9">
        <v>45736</v>
      </c>
      <c r="L5" s="8" t="s">
        <v>12</v>
      </c>
      <c r="N5" s="8" t="s">
        <v>50</v>
      </c>
      <c r="O5" s="8">
        <v>9000.99</v>
      </c>
      <c r="P5" s="8">
        <v>9426.3119047619057</v>
      </c>
      <c r="Q5" s="8">
        <v>53.063571428571429</v>
      </c>
      <c r="R5" s="8">
        <v>-65816.7</v>
      </c>
      <c r="S5" s="8">
        <v>55595.18</v>
      </c>
      <c r="T5" s="8">
        <v>23968171.75</v>
      </c>
      <c r="U5" s="8">
        <v>1</v>
      </c>
    </row>
    <row r="6" spans="2:21" x14ac:dyDescent="0.3">
      <c r="B6" s="12">
        <v>43221</v>
      </c>
      <c r="C6" s="7">
        <v>11227.57</v>
      </c>
      <c r="D6" s="7">
        <v>10664.447727272729</v>
      </c>
      <c r="E6" s="7">
        <v>13.57659091</v>
      </c>
      <c r="F6" s="8">
        <v>-2228.5300000000002</v>
      </c>
      <c r="G6" s="8">
        <v>2822.72</v>
      </c>
      <c r="H6" s="7">
        <v>19905195.239999998</v>
      </c>
      <c r="I6" s="13">
        <v>0</v>
      </c>
      <c r="K6" s="9">
        <v>45737</v>
      </c>
      <c r="L6" s="8" t="s">
        <v>13</v>
      </c>
      <c r="N6" s="8" t="s">
        <v>51</v>
      </c>
      <c r="O6" s="8">
        <v>15372.5</v>
      </c>
      <c r="P6" s="8">
        <v>14835.099999999999</v>
      </c>
      <c r="Q6" s="8">
        <v>20.65</v>
      </c>
      <c r="R6" s="8">
        <v>1245.22</v>
      </c>
      <c r="S6" s="8">
        <v>5204.42</v>
      </c>
      <c r="T6" s="8">
        <v>97975987.430000007</v>
      </c>
      <c r="U6" s="8">
        <v>1</v>
      </c>
    </row>
    <row r="7" spans="2:21" x14ac:dyDescent="0.3">
      <c r="B7" s="12">
        <v>43252</v>
      </c>
      <c r="C7" s="7">
        <v>11224.18</v>
      </c>
      <c r="D7" s="7">
        <v>10742.97380952381</v>
      </c>
      <c r="E7" s="7">
        <v>12.82</v>
      </c>
      <c r="F7" s="8">
        <v>-2768.75</v>
      </c>
      <c r="G7" s="8">
        <v>3845.87</v>
      </c>
      <c r="H7" s="7">
        <v>19266500.129999999</v>
      </c>
      <c r="I7" s="13">
        <v>0</v>
      </c>
      <c r="K7" s="9">
        <v>45830</v>
      </c>
      <c r="L7" s="8" t="s">
        <v>14</v>
      </c>
      <c r="N7" s="8" t="s">
        <v>52</v>
      </c>
      <c r="O7" s="8">
        <v>16554.099999999999</v>
      </c>
      <c r="P7" s="8">
        <v>15933.163636363635</v>
      </c>
      <c r="Q7" s="8">
        <v>21.128409090909091</v>
      </c>
      <c r="R7" s="8">
        <v>-58112.37</v>
      </c>
      <c r="S7" s="8">
        <v>46599.23</v>
      </c>
      <c r="T7" s="8">
        <v>219486616.02000001</v>
      </c>
      <c r="U7" s="8">
        <v>1</v>
      </c>
    </row>
    <row r="8" spans="2:21" x14ac:dyDescent="0.3">
      <c r="B8" s="12">
        <v>43282</v>
      </c>
      <c r="C8" s="7">
        <v>11882.71</v>
      </c>
      <c r="D8" s="7">
        <v>10991.156818181817</v>
      </c>
      <c r="E8" s="7">
        <v>12.73079545</v>
      </c>
      <c r="F8" s="8">
        <v>-10249.17</v>
      </c>
      <c r="G8" s="8">
        <v>14146.15</v>
      </c>
      <c r="H8" s="7">
        <v>19385123.010000002</v>
      </c>
      <c r="I8" s="13">
        <v>0</v>
      </c>
      <c r="K8" s="9">
        <v>45739</v>
      </c>
      <c r="L8" s="8" t="s">
        <v>15</v>
      </c>
      <c r="N8" s="8" t="s">
        <v>53</v>
      </c>
      <c r="O8" s="8">
        <v>18256.53</v>
      </c>
      <c r="P8" s="8">
        <v>17226</v>
      </c>
      <c r="Q8" s="8">
        <v>14.35464285714286</v>
      </c>
      <c r="R8" s="8">
        <v>1997.7</v>
      </c>
      <c r="S8" s="8">
        <v>30548.77</v>
      </c>
      <c r="T8" s="8">
        <v>2525378.0499999998</v>
      </c>
      <c r="U8" s="8">
        <v>0</v>
      </c>
    </row>
    <row r="9" spans="2:21" x14ac:dyDescent="0.3">
      <c r="B9" s="12">
        <v>43313</v>
      </c>
      <c r="C9" s="7">
        <v>12230.81</v>
      </c>
      <c r="D9" s="7">
        <v>11498.440476190477</v>
      </c>
      <c r="E9" s="7">
        <v>12.717380950000001</v>
      </c>
      <c r="F9" s="8">
        <v>-12359.71</v>
      </c>
      <c r="G9" s="8">
        <v>15054.48</v>
      </c>
      <c r="H9" s="7">
        <v>20078179.969999999</v>
      </c>
      <c r="I9" s="13">
        <v>0</v>
      </c>
      <c r="K9" s="9">
        <v>45740</v>
      </c>
      <c r="L9" s="8" t="s">
        <v>16</v>
      </c>
      <c r="N9" s="8" t="s">
        <v>54</v>
      </c>
      <c r="O9" s="8">
        <v>23440.799999999999</v>
      </c>
      <c r="P9" s="8">
        <v>22187.310526315792</v>
      </c>
      <c r="Q9" s="8">
        <v>13.688333333333334</v>
      </c>
      <c r="R9" s="8">
        <v>3314.47</v>
      </c>
      <c r="S9" s="8">
        <v>56311.6</v>
      </c>
      <c r="T9" s="8">
        <v>3455293.12</v>
      </c>
      <c r="U9" s="8">
        <v>0</v>
      </c>
    </row>
    <row r="10" spans="2:21" x14ac:dyDescent="0.3">
      <c r="B10" s="12">
        <v>43344</v>
      </c>
      <c r="C10" s="7">
        <v>11418.76</v>
      </c>
      <c r="D10" s="7">
        <v>11297.058333333332</v>
      </c>
      <c r="E10" s="7">
        <v>15.03486111</v>
      </c>
      <c r="F10" s="8">
        <v>-9620.56</v>
      </c>
      <c r="G10" s="8">
        <v>8663.8799999999992</v>
      </c>
      <c r="H10" s="7">
        <v>23209438.420000002</v>
      </c>
      <c r="I10" s="13">
        <v>0</v>
      </c>
      <c r="N10" s="8" t="s">
        <v>8</v>
      </c>
    </row>
    <row r="11" spans="2:21" x14ac:dyDescent="0.3">
      <c r="B11" s="12">
        <v>43374</v>
      </c>
      <c r="C11" s="7">
        <v>10871.49</v>
      </c>
      <c r="D11" s="7">
        <v>10383.809523809523</v>
      </c>
      <c r="E11" s="7">
        <v>19.152619049999998</v>
      </c>
      <c r="F11" s="8">
        <v>7904.85</v>
      </c>
      <c r="G11" s="8">
        <v>6693.91</v>
      </c>
      <c r="H11" s="7">
        <v>23245250.670000002</v>
      </c>
      <c r="I11" s="13">
        <v>1</v>
      </c>
      <c r="N11" s="8" t="s">
        <v>1</v>
      </c>
      <c r="O11" s="8" t="s">
        <v>9</v>
      </c>
    </row>
    <row r="12" spans="2:21" x14ac:dyDescent="0.3">
      <c r="B12" s="12">
        <v>43405</v>
      </c>
      <c r="C12" s="7">
        <v>11364.07</v>
      </c>
      <c r="D12" s="7">
        <v>10621.7925</v>
      </c>
      <c r="E12" s="7">
        <v>18.829000000000001</v>
      </c>
      <c r="F12" s="8">
        <v>-18619.150000000001</v>
      </c>
      <c r="G12" s="8">
        <v>17813.009999999998</v>
      </c>
      <c r="H12" s="7">
        <v>18386201.91</v>
      </c>
      <c r="I12" s="13">
        <v>1</v>
      </c>
      <c r="N12" s="9">
        <v>45918</v>
      </c>
      <c r="O12" s="8" t="s">
        <v>10</v>
      </c>
    </row>
    <row r="13" spans="2:21" x14ac:dyDescent="0.3">
      <c r="B13" s="12">
        <v>43435</v>
      </c>
      <c r="C13" s="7">
        <v>11367.43</v>
      </c>
      <c r="D13" s="7">
        <v>10778.442499999999</v>
      </c>
      <c r="E13" s="7">
        <v>16.531500000000001</v>
      </c>
      <c r="F13" s="8">
        <v>9568</v>
      </c>
      <c r="G13" s="8">
        <v>398.73</v>
      </c>
      <c r="H13" s="7">
        <v>19833818.77</v>
      </c>
      <c r="I13" s="13">
        <v>0</v>
      </c>
      <c r="N13" s="9">
        <v>45735</v>
      </c>
      <c r="O13" s="8" t="s">
        <v>11</v>
      </c>
    </row>
    <row r="14" spans="2:21" x14ac:dyDescent="0.3">
      <c r="B14" s="12">
        <v>43466</v>
      </c>
      <c r="C14" s="7">
        <v>11326.58</v>
      </c>
      <c r="D14" s="7">
        <v>10808.486363636364</v>
      </c>
      <c r="E14" s="7">
        <v>16.737065220000002</v>
      </c>
      <c r="F14" s="8">
        <v>127.67</v>
      </c>
      <c r="G14" s="8">
        <v>2146.8000000000002</v>
      </c>
      <c r="H14" s="7">
        <v>22832961.710000001</v>
      </c>
      <c r="I14" s="13">
        <v>0</v>
      </c>
      <c r="N14" s="9">
        <v>45736</v>
      </c>
      <c r="O14" s="8" t="s">
        <v>12</v>
      </c>
    </row>
    <row r="15" spans="2:21" x14ac:dyDescent="0.3">
      <c r="B15" s="12">
        <v>43497</v>
      </c>
      <c r="C15" s="7">
        <v>11262.85</v>
      </c>
      <c r="D15" s="7">
        <v>10835.762500000001</v>
      </c>
      <c r="E15" s="7">
        <v>16.404</v>
      </c>
      <c r="F15" s="8">
        <v>13564.57</v>
      </c>
      <c r="G15" s="8">
        <v>-565.89</v>
      </c>
      <c r="H15" s="7">
        <v>19686714.039999999</v>
      </c>
      <c r="I15" s="13">
        <v>0</v>
      </c>
      <c r="N15" s="9">
        <v>45737</v>
      </c>
      <c r="O15" s="8" t="s">
        <v>13</v>
      </c>
    </row>
    <row r="16" spans="2:21" x14ac:dyDescent="0.3">
      <c r="B16" s="12">
        <v>43525</v>
      </c>
      <c r="C16" s="7">
        <v>12090.72</v>
      </c>
      <c r="D16" s="7">
        <v>11273.484210526314</v>
      </c>
      <c r="E16" s="7">
        <v>15.989605259999999</v>
      </c>
      <c r="F16" s="8">
        <v>32371.43</v>
      </c>
      <c r="G16" s="8">
        <v>-13930.25</v>
      </c>
      <c r="H16" s="7">
        <v>22581719.859999999</v>
      </c>
      <c r="I16" s="13">
        <v>0</v>
      </c>
      <c r="N16" s="9">
        <v>45830</v>
      </c>
      <c r="O16" s="8" t="s">
        <v>14</v>
      </c>
    </row>
    <row r="17" spans="2:15" x14ac:dyDescent="0.3">
      <c r="B17" s="12">
        <v>43556</v>
      </c>
      <c r="C17" s="7">
        <v>12230.27</v>
      </c>
      <c r="D17" s="7">
        <v>11659.913157894736</v>
      </c>
      <c r="E17" s="7">
        <v>21.075263159999999</v>
      </c>
      <c r="F17" s="8">
        <v>12749.55</v>
      </c>
      <c r="G17" s="8">
        <v>-4219.46</v>
      </c>
      <c r="H17" s="7">
        <v>23270669.890000001</v>
      </c>
      <c r="I17" s="13">
        <v>1</v>
      </c>
      <c r="N17" s="9">
        <v>45739</v>
      </c>
      <c r="O17" s="8" t="s">
        <v>15</v>
      </c>
    </row>
    <row r="18" spans="2:15" x14ac:dyDescent="0.3">
      <c r="B18" s="12">
        <v>43586</v>
      </c>
      <c r="C18" s="7">
        <v>12416.37</v>
      </c>
      <c r="D18" s="7">
        <v>11584.084090909089</v>
      </c>
      <c r="E18" s="7">
        <v>23.216249999999999</v>
      </c>
      <c r="F18" s="8">
        <v>-2135.85</v>
      </c>
      <c r="G18" s="8">
        <v>5316.34</v>
      </c>
      <c r="H18" s="7">
        <v>26392563.16</v>
      </c>
      <c r="I18" s="13">
        <v>1</v>
      </c>
      <c r="N18" s="9">
        <v>45740</v>
      </c>
      <c r="O18" s="8" t="s">
        <v>16</v>
      </c>
    </row>
    <row r="19" spans="2:15" x14ac:dyDescent="0.3">
      <c r="B19" s="12">
        <v>43617</v>
      </c>
      <c r="C19" s="7">
        <v>12293.47</v>
      </c>
      <c r="D19" s="7">
        <v>11846.073684210527</v>
      </c>
      <c r="E19" s="7">
        <v>14.75210526</v>
      </c>
      <c r="F19" s="8">
        <v>-688.5</v>
      </c>
      <c r="G19" s="8">
        <v>3643.31</v>
      </c>
      <c r="H19" s="7">
        <v>25671934.32</v>
      </c>
      <c r="I19" s="13">
        <v>0</v>
      </c>
    </row>
    <row r="20" spans="2:15" x14ac:dyDescent="0.3">
      <c r="B20" s="12">
        <v>43647</v>
      </c>
      <c r="C20" s="7">
        <v>11602.65</v>
      </c>
      <c r="D20" s="7">
        <v>11552.278260869563</v>
      </c>
      <c r="E20" s="7">
        <v>12.985217390000001</v>
      </c>
      <c r="F20" s="8">
        <v>-16870.13</v>
      </c>
      <c r="G20" s="8">
        <v>20394.52</v>
      </c>
      <c r="H20" s="7">
        <v>29343844.609999999</v>
      </c>
      <c r="I20" s="13">
        <v>0</v>
      </c>
    </row>
    <row r="21" spans="2:15" x14ac:dyDescent="0.3">
      <c r="B21" s="12">
        <v>43678</v>
      </c>
      <c r="C21" s="7">
        <v>11528.28</v>
      </c>
      <c r="D21" s="7">
        <v>10981.237500000001</v>
      </c>
      <c r="E21" s="7">
        <v>16.486000000000001</v>
      </c>
      <c r="F21" s="8">
        <v>-14828.76</v>
      </c>
      <c r="G21" s="8">
        <v>20933.59</v>
      </c>
      <c r="H21" s="7">
        <v>31206432.350000001</v>
      </c>
      <c r="I21" s="13">
        <v>0</v>
      </c>
    </row>
    <row r="22" spans="2:15" x14ac:dyDescent="0.3">
      <c r="B22" s="12">
        <v>43709</v>
      </c>
      <c r="C22" s="7">
        <v>11986.23</v>
      </c>
      <c r="D22" s="7">
        <v>11100.542105263161</v>
      </c>
      <c r="E22" s="7">
        <v>16.02</v>
      </c>
      <c r="F22" s="8">
        <v>-6624.05</v>
      </c>
      <c r="G22" s="8">
        <v>12490.81</v>
      </c>
      <c r="H22" s="7">
        <v>28574702.170000002</v>
      </c>
      <c r="I22" s="13">
        <v>0</v>
      </c>
    </row>
    <row r="23" spans="2:15" x14ac:dyDescent="0.3">
      <c r="B23" s="12">
        <v>43739</v>
      </c>
      <c r="C23" s="7">
        <v>12439.27</v>
      </c>
      <c r="D23" s="7">
        <v>11470.055000000002</v>
      </c>
      <c r="E23" s="7">
        <v>16.684000000000001</v>
      </c>
      <c r="F23" s="8">
        <v>8595.66</v>
      </c>
      <c r="G23" s="8">
        <v>4758.4799999999996</v>
      </c>
      <c r="H23" s="7">
        <v>29027816.850000001</v>
      </c>
      <c r="I23" s="13">
        <v>0</v>
      </c>
    </row>
    <row r="24" spans="2:15" x14ac:dyDescent="0.3">
      <c r="B24" s="12">
        <v>43770</v>
      </c>
      <c r="C24" s="7">
        <v>12605.82</v>
      </c>
      <c r="D24" s="7">
        <v>11955.202500000001</v>
      </c>
      <c r="E24" s="7">
        <v>15.316125</v>
      </c>
      <c r="F24" s="8">
        <v>12924.93</v>
      </c>
      <c r="G24" s="8">
        <v>-7970.29</v>
      </c>
      <c r="H24" s="7">
        <v>27369064.940000001</v>
      </c>
      <c r="I24" s="13">
        <v>0</v>
      </c>
    </row>
    <row r="25" spans="2:15" x14ac:dyDescent="0.3">
      <c r="B25" s="12">
        <v>43800</v>
      </c>
      <c r="C25" s="7">
        <v>12736.31</v>
      </c>
      <c r="D25" s="7">
        <v>12091.528571428571</v>
      </c>
      <c r="E25" s="7">
        <v>12.836547619999999</v>
      </c>
      <c r="F25" s="8">
        <v>694.12</v>
      </c>
      <c r="G25" s="8">
        <v>-740.76</v>
      </c>
      <c r="H25" s="7">
        <v>28247951.379999999</v>
      </c>
      <c r="I25" s="13">
        <v>0</v>
      </c>
    </row>
    <row r="26" spans="2:15" x14ac:dyDescent="0.3">
      <c r="B26" s="12">
        <v>43831</v>
      </c>
      <c r="C26" s="7">
        <v>12533.2</v>
      </c>
      <c r="D26" s="7">
        <v>12183.065217391302</v>
      </c>
      <c r="E26" s="7">
        <v>14.942826086956501</v>
      </c>
      <c r="F26" s="8">
        <v>-5359.51</v>
      </c>
      <c r="G26" s="8">
        <v>1073.49</v>
      </c>
      <c r="H26" s="7">
        <v>35288275.579999998</v>
      </c>
      <c r="I26" s="13">
        <v>0</v>
      </c>
    </row>
    <row r="27" spans="2:15" x14ac:dyDescent="0.3">
      <c r="B27" s="12">
        <v>43862</v>
      </c>
      <c r="C27" s="7">
        <v>11728.36</v>
      </c>
      <c r="D27" s="7">
        <v>11934.472499999998</v>
      </c>
      <c r="E27" s="7">
        <v>15.359874999999999</v>
      </c>
      <c r="F27" s="8">
        <v>-12684.3</v>
      </c>
      <c r="G27" s="8">
        <v>16933.03</v>
      </c>
      <c r="H27" s="7">
        <v>35763137.170000002</v>
      </c>
      <c r="I27" s="13">
        <v>0</v>
      </c>
    </row>
    <row r="28" spans="2:15" x14ac:dyDescent="0.3">
      <c r="B28" s="12">
        <v>43891</v>
      </c>
      <c r="C28" s="7">
        <v>9000.99</v>
      </c>
      <c r="D28" s="7">
        <v>9426.3119047619057</v>
      </c>
      <c r="E28" s="7">
        <v>53.063571428571429</v>
      </c>
      <c r="F28" s="8">
        <v>-65816.7</v>
      </c>
      <c r="G28" s="8">
        <v>55595.18</v>
      </c>
      <c r="H28" s="7">
        <v>23968171.75</v>
      </c>
      <c r="I28" s="13">
        <v>1</v>
      </c>
    </row>
    <row r="29" spans="2:15" x14ac:dyDescent="0.3">
      <c r="B29" s="12">
        <v>43922</v>
      </c>
      <c r="C29" s="7">
        <v>10326.33</v>
      </c>
      <c r="D29" s="7">
        <v>9063.5833333333339</v>
      </c>
      <c r="E29" s="7">
        <v>45.003749999999997</v>
      </c>
      <c r="F29" s="8">
        <v>-5208.5</v>
      </c>
      <c r="G29" s="8">
        <v>-117</v>
      </c>
      <c r="H29" s="7">
        <v>18943089.440000001</v>
      </c>
      <c r="I29" s="13">
        <v>1</v>
      </c>
    </row>
    <row r="30" spans="2:15" x14ac:dyDescent="0.3">
      <c r="B30" s="12">
        <v>43952</v>
      </c>
      <c r="C30" s="7">
        <v>10013.16</v>
      </c>
      <c r="D30" s="7">
        <v>9192.0131578947385</v>
      </c>
      <c r="E30" s="7">
        <v>36.982105263157905</v>
      </c>
      <c r="F30" s="8">
        <v>13914.49</v>
      </c>
      <c r="G30" s="8">
        <v>12293.19</v>
      </c>
      <c r="H30" s="7">
        <v>25386221.010000002</v>
      </c>
      <c r="I30" s="13">
        <v>1</v>
      </c>
    </row>
    <row r="31" spans="2:15" x14ac:dyDescent="0.3">
      <c r="B31" s="12">
        <v>43983</v>
      </c>
      <c r="C31" s="7">
        <v>10768.19</v>
      </c>
      <c r="D31" s="7">
        <v>10116.454545454544</v>
      </c>
      <c r="E31" s="7">
        <v>30.23761363636363</v>
      </c>
      <c r="F31" s="8">
        <v>5492.95</v>
      </c>
      <c r="G31" s="8">
        <v>2434.4</v>
      </c>
      <c r="H31" s="7">
        <v>30252399.550000001</v>
      </c>
      <c r="I31" s="13">
        <v>1</v>
      </c>
    </row>
    <row r="32" spans="2:15" x14ac:dyDescent="0.3">
      <c r="B32" s="12">
        <v>44013</v>
      </c>
      <c r="C32" s="7">
        <v>11618.98</v>
      </c>
      <c r="D32" s="7">
        <v>10897.695652173914</v>
      </c>
      <c r="E32" s="7">
        <v>25.184347826086952</v>
      </c>
      <c r="F32" s="8">
        <v>2490.19</v>
      </c>
      <c r="G32" s="8">
        <v>-10007.879999999999</v>
      </c>
      <c r="H32" s="7">
        <v>38103634.630000003</v>
      </c>
      <c r="I32" s="13">
        <v>1</v>
      </c>
    </row>
    <row r="33" spans="2:9" x14ac:dyDescent="0.3">
      <c r="B33" s="12">
        <v>44044</v>
      </c>
      <c r="C33" s="7">
        <v>11927.59</v>
      </c>
      <c r="D33" s="7">
        <v>11318.566666666668</v>
      </c>
      <c r="E33" s="7">
        <v>21.210714285714285</v>
      </c>
      <c r="F33" s="8">
        <v>15749.86</v>
      </c>
      <c r="G33" s="8">
        <v>-11046.78</v>
      </c>
      <c r="H33" s="7">
        <v>38639563.450000003</v>
      </c>
      <c r="I33" s="13">
        <v>1</v>
      </c>
    </row>
    <row r="34" spans="2:9" x14ac:dyDescent="0.3">
      <c r="B34" s="12">
        <v>44075</v>
      </c>
      <c r="C34" s="7">
        <v>11820.78</v>
      </c>
      <c r="D34" s="7">
        <v>11336.702272727271</v>
      </c>
      <c r="E34" s="7">
        <v>21.078977272727272</v>
      </c>
      <c r="F34" s="8">
        <v>-11410.69</v>
      </c>
      <c r="G34" s="8">
        <v>110.3</v>
      </c>
      <c r="H34" s="7">
        <v>51492601.049999997</v>
      </c>
      <c r="I34" s="13">
        <v>1</v>
      </c>
    </row>
    <row r="35" spans="2:9" x14ac:dyDescent="0.3">
      <c r="B35" s="12">
        <v>44105</v>
      </c>
      <c r="C35" s="7">
        <v>12196.08</v>
      </c>
      <c r="D35" s="7">
        <v>11789.709523809524</v>
      </c>
      <c r="E35" s="7">
        <v>21.5825</v>
      </c>
      <c r="F35" s="8">
        <v>14537.4</v>
      </c>
      <c r="G35" s="8">
        <v>-17318.439999999999</v>
      </c>
      <c r="H35" s="7">
        <v>60358608.049999997</v>
      </c>
      <c r="I35" s="13">
        <v>1</v>
      </c>
    </row>
    <row r="36" spans="2:9" x14ac:dyDescent="0.3">
      <c r="B36" s="12">
        <v>44136</v>
      </c>
      <c r="C36" s="7">
        <v>13552.6</v>
      </c>
      <c r="D36" s="7">
        <v>12602.3225</v>
      </c>
      <c r="E36" s="7">
        <v>21.011000000000003</v>
      </c>
      <c r="F36" s="8">
        <v>65317.13</v>
      </c>
      <c r="G36" s="8">
        <v>-48319.17</v>
      </c>
      <c r="H36" s="7">
        <v>58450590.560000002</v>
      </c>
      <c r="I36" s="13">
        <v>1</v>
      </c>
    </row>
    <row r="37" spans="2:9" x14ac:dyDescent="0.3">
      <c r="B37" s="12">
        <v>44166</v>
      </c>
      <c r="C37" s="7">
        <v>14640.61</v>
      </c>
      <c r="D37" s="7">
        <v>13550.44090909091</v>
      </c>
      <c r="E37" s="7">
        <v>19.771363636363638</v>
      </c>
      <c r="F37" s="8">
        <v>48223.94</v>
      </c>
      <c r="G37" s="8">
        <v>-37293.53</v>
      </c>
      <c r="H37" s="7">
        <v>68715461.040000007</v>
      </c>
      <c r="I37" s="13">
        <v>1</v>
      </c>
    </row>
    <row r="38" spans="2:9" x14ac:dyDescent="0.3">
      <c r="B38" s="12">
        <v>44197</v>
      </c>
      <c r="C38" s="7">
        <v>14287.7</v>
      </c>
      <c r="D38" s="7">
        <v>14284.602499999999</v>
      </c>
      <c r="E38" s="7">
        <v>25.34</v>
      </c>
      <c r="F38" s="8">
        <v>8980.81</v>
      </c>
      <c r="G38" s="8">
        <v>-11970.54</v>
      </c>
      <c r="H38" s="7">
        <v>78425626.959999993</v>
      </c>
      <c r="I38" s="13">
        <v>1</v>
      </c>
    </row>
    <row r="39" spans="2:9" x14ac:dyDescent="0.3">
      <c r="B39" s="12">
        <v>44228</v>
      </c>
      <c r="C39" s="7">
        <v>15188.93</v>
      </c>
      <c r="D39" s="7">
        <v>14956.842499999999</v>
      </c>
      <c r="E39" s="7">
        <v>28.14</v>
      </c>
      <c r="F39" s="8">
        <v>42044.46</v>
      </c>
      <c r="G39" s="8">
        <v>-16358.1</v>
      </c>
      <c r="H39" s="7">
        <v>93663167.159999996</v>
      </c>
      <c r="I39" s="13">
        <v>1</v>
      </c>
    </row>
    <row r="40" spans="2:9" x14ac:dyDescent="0.3">
      <c r="B40" s="12">
        <v>44256</v>
      </c>
      <c r="C40" s="7">
        <v>15372.5</v>
      </c>
      <c r="D40" s="7">
        <v>14835.099999999999</v>
      </c>
      <c r="E40" s="7">
        <v>20.65</v>
      </c>
      <c r="F40" s="8">
        <v>1245.22</v>
      </c>
      <c r="G40" s="8">
        <v>5204.42</v>
      </c>
      <c r="H40" s="7">
        <v>97975987.430000007</v>
      </c>
      <c r="I40" s="13">
        <v>1</v>
      </c>
    </row>
    <row r="41" spans="2:9" x14ac:dyDescent="0.3">
      <c r="B41" s="12">
        <v>44287</v>
      </c>
      <c r="C41" s="7">
        <v>15322.41</v>
      </c>
      <c r="D41" s="7">
        <v>14613.852631578948</v>
      </c>
      <c r="E41" s="7">
        <v>23.03</v>
      </c>
      <c r="F41" s="8">
        <v>-12039.43</v>
      </c>
      <c r="G41" s="8">
        <v>11359.88</v>
      </c>
      <c r="H41" s="7">
        <v>93312391.849999994</v>
      </c>
      <c r="I41" s="13">
        <v>1</v>
      </c>
    </row>
    <row r="42" spans="2:9" x14ac:dyDescent="0.3">
      <c r="B42" s="12">
        <v>44317</v>
      </c>
      <c r="C42" s="7">
        <v>16321.15</v>
      </c>
      <c r="D42" s="7">
        <v>14983.525</v>
      </c>
      <c r="E42" s="7">
        <v>17.399999999999999</v>
      </c>
      <c r="F42" s="8">
        <v>-6015.34</v>
      </c>
      <c r="G42" s="8">
        <v>2067.23</v>
      </c>
      <c r="H42" s="7">
        <v>94927122.959999993</v>
      </c>
      <c r="I42" s="13">
        <v>0</v>
      </c>
    </row>
    <row r="43" spans="2:9" x14ac:dyDescent="0.3">
      <c r="B43" s="12">
        <v>44348</v>
      </c>
      <c r="C43" s="7">
        <v>16482.07</v>
      </c>
      <c r="D43" s="7">
        <v>15733.677272727275</v>
      </c>
      <c r="E43" s="7">
        <v>13.05</v>
      </c>
      <c r="F43" s="8">
        <v>-25.89</v>
      </c>
      <c r="G43" s="8">
        <v>7043.51</v>
      </c>
      <c r="H43" s="7">
        <v>96692147.459999993</v>
      </c>
      <c r="I43" s="13">
        <v>0</v>
      </c>
    </row>
    <row r="44" spans="2:9" x14ac:dyDescent="0.3">
      <c r="B44" s="12">
        <v>44378</v>
      </c>
      <c r="C44" s="7">
        <v>16547.5</v>
      </c>
      <c r="D44" s="7">
        <v>15783.097619047621</v>
      </c>
      <c r="E44" s="7">
        <v>12.8</v>
      </c>
      <c r="F44" s="8">
        <v>-23193.39</v>
      </c>
      <c r="G44" s="8">
        <v>18393.919999999998</v>
      </c>
      <c r="H44" s="7">
        <v>115889993.06</v>
      </c>
      <c r="I44" s="13">
        <v>0</v>
      </c>
    </row>
    <row r="45" spans="2:9" x14ac:dyDescent="0.3">
      <c r="B45" s="12">
        <v>44409</v>
      </c>
      <c r="C45" s="7">
        <v>17989.259999999998</v>
      </c>
      <c r="D45" s="7">
        <v>16470.459523809528</v>
      </c>
      <c r="E45" s="7">
        <v>14.52</v>
      </c>
      <c r="F45" s="8">
        <v>-2568.52</v>
      </c>
      <c r="G45" s="8">
        <v>6894.69</v>
      </c>
      <c r="H45" s="7">
        <v>110250209.65000001</v>
      </c>
      <c r="I45" s="13">
        <v>0</v>
      </c>
    </row>
    <row r="46" spans="2:9" x14ac:dyDescent="0.3">
      <c r="B46" s="12">
        <v>44440</v>
      </c>
      <c r="C46" s="7">
        <v>18469.91</v>
      </c>
      <c r="D46" s="7">
        <v>17508.614285714284</v>
      </c>
      <c r="E46" s="7">
        <v>18.399999999999999</v>
      </c>
      <c r="F46" s="8">
        <v>913.77</v>
      </c>
      <c r="G46" s="8">
        <v>5948.85</v>
      </c>
      <c r="H46" s="7">
        <v>149224890.37</v>
      </c>
      <c r="I46" s="13">
        <v>1</v>
      </c>
    </row>
    <row r="47" spans="2:9" x14ac:dyDescent="0.3">
      <c r="B47" s="12">
        <v>44470</v>
      </c>
      <c r="C47" s="7">
        <v>18517.39</v>
      </c>
      <c r="D47" s="7">
        <v>18020.220000000005</v>
      </c>
      <c r="E47" s="7">
        <v>17.43</v>
      </c>
      <c r="F47" s="8">
        <v>-25572.19</v>
      </c>
      <c r="G47" s="8">
        <v>4470.99</v>
      </c>
      <c r="H47" s="7">
        <v>141511127.25999999</v>
      </c>
      <c r="I47" s="13">
        <v>0</v>
      </c>
    </row>
    <row r="48" spans="2:9" x14ac:dyDescent="0.3">
      <c r="B48" s="12">
        <v>44501</v>
      </c>
      <c r="C48" s="7">
        <v>17810.75</v>
      </c>
      <c r="D48" s="7">
        <v>17718.892500000002</v>
      </c>
      <c r="E48" s="7">
        <v>21.17</v>
      </c>
      <c r="F48" s="8">
        <v>-39901.919999999998</v>
      </c>
      <c r="G48" s="8">
        <v>30560.27</v>
      </c>
      <c r="H48" s="7">
        <v>152973110.56999999</v>
      </c>
      <c r="I48" s="13">
        <v>1</v>
      </c>
    </row>
    <row r="49" spans="2:9" x14ac:dyDescent="0.3">
      <c r="B49" s="12">
        <v>44531</v>
      </c>
      <c r="C49" s="7">
        <v>18199.47</v>
      </c>
      <c r="D49" s="7">
        <v>17174.26956521739</v>
      </c>
      <c r="E49" s="7">
        <v>16.22</v>
      </c>
      <c r="F49" s="8">
        <v>-35493.589999999997</v>
      </c>
      <c r="G49" s="8">
        <v>31231.05</v>
      </c>
      <c r="H49" s="7">
        <v>181018353.25</v>
      </c>
      <c r="I49" s="13">
        <v>0</v>
      </c>
    </row>
    <row r="50" spans="2:9" x14ac:dyDescent="0.3">
      <c r="B50" s="12">
        <v>44562</v>
      </c>
      <c r="C50" s="7">
        <v>18175.16</v>
      </c>
      <c r="D50" s="7">
        <v>17770.622500000001</v>
      </c>
      <c r="E50" s="7">
        <v>18.409624999999998</v>
      </c>
      <c r="F50" s="8">
        <v>-41346.35</v>
      </c>
      <c r="G50" s="8">
        <v>21928.400000000001</v>
      </c>
      <c r="H50" s="7">
        <v>175254530.56999999</v>
      </c>
      <c r="I50" s="13">
        <v>1</v>
      </c>
    </row>
    <row r="51" spans="2:9" x14ac:dyDescent="0.3">
      <c r="B51" s="12">
        <v>44593</v>
      </c>
      <c r="C51" s="7">
        <v>17596.12</v>
      </c>
      <c r="D51" s="7">
        <v>17225.940000000002</v>
      </c>
      <c r="E51" s="7">
        <v>22.075250000000004</v>
      </c>
      <c r="F51" s="8">
        <v>-45720.07</v>
      </c>
      <c r="G51" s="8">
        <v>42084.07</v>
      </c>
      <c r="H51" s="7">
        <v>200557773.19</v>
      </c>
      <c r="I51" s="13">
        <v>1</v>
      </c>
    </row>
    <row r="52" spans="2:9" x14ac:dyDescent="0.3">
      <c r="B52" s="12">
        <v>44621</v>
      </c>
      <c r="C52" s="7">
        <v>18299.21</v>
      </c>
      <c r="D52" s="7">
        <v>16864.673809523807</v>
      </c>
      <c r="E52" s="7">
        <v>25.079761904761909</v>
      </c>
      <c r="F52" s="8">
        <v>-43281.31</v>
      </c>
      <c r="G52" s="8">
        <v>39677.03</v>
      </c>
      <c r="H52" s="7">
        <v>187008999.80000001</v>
      </c>
      <c r="I52" s="13">
        <v>1</v>
      </c>
    </row>
    <row r="53" spans="2:9" x14ac:dyDescent="0.3">
      <c r="B53" s="12">
        <v>44652</v>
      </c>
      <c r="C53" s="7">
        <v>17919.259999999998</v>
      </c>
      <c r="D53" s="7">
        <v>17419.360526315788</v>
      </c>
      <c r="E53" s="7">
        <v>18.87263157894737</v>
      </c>
      <c r="F53" s="8">
        <v>-40652.71</v>
      </c>
      <c r="G53" s="8">
        <v>29869.52</v>
      </c>
      <c r="H53" s="7">
        <v>192502411.69999999</v>
      </c>
      <c r="I53" s="13">
        <v>1</v>
      </c>
    </row>
    <row r="54" spans="2:9" x14ac:dyDescent="0.3">
      <c r="B54" s="12">
        <v>44682</v>
      </c>
      <c r="C54" s="7">
        <v>17388.830000000002</v>
      </c>
      <c r="D54" s="7">
        <v>16271.019047619049</v>
      </c>
      <c r="E54" s="7">
        <v>22.608690476190482</v>
      </c>
      <c r="F54" s="8">
        <v>-54292.47</v>
      </c>
      <c r="G54" s="8">
        <v>50835.54</v>
      </c>
      <c r="H54" s="7">
        <v>212279576.15000001</v>
      </c>
      <c r="I54" s="13">
        <v>1</v>
      </c>
    </row>
    <row r="55" spans="2:9" x14ac:dyDescent="0.3">
      <c r="B55" s="12">
        <v>44713</v>
      </c>
      <c r="C55" s="7">
        <v>16554.099999999999</v>
      </c>
      <c r="D55" s="7">
        <v>15933.163636363635</v>
      </c>
      <c r="E55" s="7">
        <v>21.128409090909091</v>
      </c>
      <c r="F55" s="8">
        <v>-58112.37</v>
      </c>
      <c r="G55" s="8">
        <v>46599.23</v>
      </c>
      <c r="H55" s="7">
        <v>219486616.02000001</v>
      </c>
      <c r="I55" s="13">
        <v>1</v>
      </c>
    </row>
    <row r="56" spans="2:9" x14ac:dyDescent="0.3">
      <c r="B56" s="12">
        <v>44743</v>
      </c>
      <c r="C56" s="7">
        <v>18021.3</v>
      </c>
      <c r="D56" s="7">
        <v>16299.021428571426</v>
      </c>
      <c r="E56" s="7">
        <v>18.308690476190478</v>
      </c>
      <c r="F56" s="8">
        <v>-6567.71</v>
      </c>
      <c r="G56" s="8">
        <v>10546.02</v>
      </c>
      <c r="H56" s="7">
        <v>235717204.52000001</v>
      </c>
      <c r="I56" s="13">
        <v>1</v>
      </c>
    </row>
    <row r="57" spans="2:9" x14ac:dyDescent="0.3">
      <c r="B57" s="12">
        <v>44774</v>
      </c>
      <c r="C57" s="7">
        <v>18682.96</v>
      </c>
      <c r="D57" s="7">
        <v>17579.065000000006</v>
      </c>
      <c r="E57" s="7">
        <v>18.565624999999997</v>
      </c>
      <c r="F57" s="8">
        <v>22025.62</v>
      </c>
      <c r="G57" s="8">
        <v>-7068.63</v>
      </c>
      <c r="H57" s="7">
        <v>274756997.57999998</v>
      </c>
      <c r="I57" s="13">
        <v>1</v>
      </c>
    </row>
    <row r="58" spans="2:9" x14ac:dyDescent="0.3">
      <c r="B58" s="12">
        <v>44805</v>
      </c>
      <c r="C58" s="7">
        <v>18011.55</v>
      </c>
      <c r="D58" s="7">
        <v>17544.877272727266</v>
      </c>
      <c r="E58" s="7">
        <v>19.554318181818179</v>
      </c>
      <c r="F58" s="8">
        <v>-18308.3</v>
      </c>
      <c r="G58" s="8">
        <v>14119.75</v>
      </c>
      <c r="H58" s="7">
        <v>251445700.28999999</v>
      </c>
      <c r="I58" s="13">
        <v>1</v>
      </c>
    </row>
    <row r="59" spans="2:9" x14ac:dyDescent="0.3">
      <c r="B59" s="12">
        <v>44835</v>
      </c>
      <c r="C59" s="7">
        <v>18969.25</v>
      </c>
      <c r="D59" s="7">
        <v>17406.873684210528</v>
      </c>
      <c r="E59" s="7">
        <v>18.336447368421059</v>
      </c>
      <c r="F59" s="8">
        <v>-489.06</v>
      </c>
      <c r="G59" s="8">
        <v>9276.9699999999993</v>
      </c>
      <c r="H59" s="7">
        <v>4486480.13</v>
      </c>
      <c r="I59" s="13">
        <v>1</v>
      </c>
    </row>
    <row r="60" spans="2:9" x14ac:dyDescent="0.3">
      <c r="B60" s="12">
        <v>44866</v>
      </c>
      <c r="C60" s="7">
        <v>19740.64</v>
      </c>
      <c r="D60" s="7">
        <v>18311.283333333333</v>
      </c>
      <c r="E60" s="7">
        <v>14.774047619047618</v>
      </c>
      <c r="F60" s="8">
        <v>22546.34</v>
      </c>
      <c r="G60" s="8">
        <v>-6301.32</v>
      </c>
      <c r="H60" s="7">
        <v>5379960.6699999999</v>
      </c>
      <c r="I60" s="13">
        <v>0</v>
      </c>
    </row>
    <row r="61" spans="2:9" x14ac:dyDescent="0.3">
      <c r="B61" s="12">
        <v>44896</v>
      </c>
      <c r="C61" s="7">
        <v>19058.93</v>
      </c>
      <c r="D61" s="7">
        <v>18385.131818181813</v>
      </c>
      <c r="E61" s="7">
        <v>14.225681818181817</v>
      </c>
      <c r="F61" s="8">
        <v>-14231.09</v>
      </c>
      <c r="G61" s="8">
        <v>24159.13</v>
      </c>
      <c r="H61" s="7">
        <v>5071989.45</v>
      </c>
      <c r="I61" s="13">
        <v>0</v>
      </c>
    </row>
    <row r="62" spans="2:9" x14ac:dyDescent="0.3">
      <c r="B62" s="12">
        <v>44927</v>
      </c>
      <c r="C62" s="7">
        <v>18592.13</v>
      </c>
      <c r="D62" s="8">
        <v>17969</v>
      </c>
      <c r="E62" s="7">
        <v>15.008333333333335</v>
      </c>
      <c r="F62" s="8">
        <v>-41464.730000000003</v>
      </c>
      <c r="G62" s="8">
        <v>33411.85</v>
      </c>
      <c r="H62" s="7">
        <v>2213003.34</v>
      </c>
      <c r="I62" s="13">
        <v>0</v>
      </c>
    </row>
    <row r="63" spans="2:9" x14ac:dyDescent="0.3">
      <c r="B63" s="12">
        <v>44958</v>
      </c>
      <c r="C63" s="7">
        <v>18192.14</v>
      </c>
      <c r="D63" s="8">
        <v>17739</v>
      </c>
      <c r="E63" s="7">
        <v>14.060124999999999</v>
      </c>
      <c r="F63" s="8">
        <v>-11090.64</v>
      </c>
      <c r="G63" s="8">
        <v>19239.28</v>
      </c>
      <c r="H63" s="7">
        <v>2772619.51</v>
      </c>
      <c r="I63" s="13">
        <v>0</v>
      </c>
    </row>
    <row r="64" spans="2:9" x14ac:dyDescent="0.3">
      <c r="B64" s="12">
        <v>44986</v>
      </c>
      <c r="C64" s="7">
        <v>18256.53</v>
      </c>
      <c r="D64" s="8">
        <v>17226</v>
      </c>
      <c r="E64" s="7">
        <v>14.35464285714286</v>
      </c>
      <c r="F64" s="8">
        <v>1997.7</v>
      </c>
      <c r="G64" s="8">
        <v>30548.77</v>
      </c>
      <c r="H64" s="7">
        <v>2525378.0499999998</v>
      </c>
      <c r="I64" s="13">
        <v>0</v>
      </c>
    </row>
    <row r="65" spans="2:9" x14ac:dyDescent="0.3">
      <c r="B65" s="12">
        <v>45017</v>
      </c>
      <c r="C65" s="7">
        <v>18984.02</v>
      </c>
      <c r="D65" s="8">
        <v>17711</v>
      </c>
      <c r="E65" s="7">
        <v>11.911617647058824</v>
      </c>
      <c r="F65" s="8">
        <v>5711.8</v>
      </c>
      <c r="G65" s="8">
        <v>2216.5700000000002</v>
      </c>
      <c r="H65" s="7">
        <v>1894750.71</v>
      </c>
      <c r="I65" s="13">
        <v>0</v>
      </c>
    </row>
    <row r="66" spans="2:9" x14ac:dyDescent="0.3">
      <c r="B66" s="12">
        <v>45047</v>
      </c>
      <c r="C66" s="7">
        <v>19475.939999999999</v>
      </c>
      <c r="D66" s="8">
        <v>18307</v>
      </c>
      <c r="E66" s="7">
        <v>12.540113636363635</v>
      </c>
      <c r="F66" s="8">
        <v>27856.48</v>
      </c>
      <c r="G66" s="8">
        <v>-3306.35</v>
      </c>
      <c r="H66" s="7">
        <v>2806373.28</v>
      </c>
      <c r="I66" s="13">
        <v>0</v>
      </c>
    </row>
    <row r="67" spans="2:9" x14ac:dyDescent="0.3">
      <c r="B67" s="12">
        <v>45078</v>
      </c>
      <c r="C67" s="7">
        <v>20144.259999999998</v>
      </c>
      <c r="D67" s="8">
        <v>18727</v>
      </c>
      <c r="E67" s="7">
        <v>11.180476190476192</v>
      </c>
      <c r="F67" s="8">
        <v>27250.01</v>
      </c>
      <c r="G67" s="8">
        <v>4458.2299999999996</v>
      </c>
      <c r="H67" s="7">
        <v>18041131.579999998</v>
      </c>
      <c r="I67" s="13">
        <v>0</v>
      </c>
    </row>
    <row r="68" spans="2:9" x14ac:dyDescent="0.3">
      <c r="B68" s="12">
        <v>45108</v>
      </c>
      <c r="C68" s="7">
        <v>20724.91</v>
      </c>
      <c r="D68" s="8">
        <v>19586</v>
      </c>
      <c r="E68" s="7">
        <v>11.182500000000001</v>
      </c>
      <c r="F68" s="8">
        <v>13922.01</v>
      </c>
      <c r="G68" s="8">
        <v>-1184.33</v>
      </c>
      <c r="H68" s="7">
        <v>33809147.869999997</v>
      </c>
      <c r="I68" s="13">
        <v>0</v>
      </c>
    </row>
    <row r="69" spans="2:9" x14ac:dyDescent="0.3">
      <c r="B69" s="12">
        <v>45139</v>
      </c>
      <c r="C69" s="7">
        <v>20203.2</v>
      </c>
      <c r="D69" s="8">
        <v>19438</v>
      </c>
      <c r="E69" s="7">
        <v>11.63693181818182</v>
      </c>
      <c r="F69" s="8">
        <v>-20620.650000000001</v>
      </c>
      <c r="G69" s="8">
        <v>25016.95</v>
      </c>
      <c r="H69" s="7">
        <v>33222913.82</v>
      </c>
      <c r="I69" s="13">
        <v>0</v>
      </c>
    </row>
    <row r="70" spans="2:9" x14ac:dyDescent="0.3">
      <c r="B70" s="12">
        <v>45170</v>
      </c>
      <c r="C70" s="7">
        <v>20591.259999999998</v>
      </c>
      <c r="D70" s="8">
        <v>19786</v>
      </c>
      <c r="E70" s="7">
        <v>11.197125</v>
      </c>
      <c r="F70" s="8">
        <v>-26692.16</v>
      </c>
      <c r="G70" s="8">
        <v>20312.650000000001</v>
      </c>
      <c r="H70" s="7">
        <v>55738808.399999999</v>
      </c>
      <c r="I70" s="13">
        <v>0</v>
      </c>
    </row>
    <row r="71" spans="2:9" x14ac:dyDescent="0.3">
      <c r="B71" s="12">
        <v>45200</v>
      </c>
      <c r="C71" s="7">
        <v>20001.52</v>
      </c>
      <c r="D71" s="8">
        <v>19482</v>
      </c>
      <c r="E71" s="7">
        <v>11.109249999999999</v>
      </c>
      <c r="F71" s="8">
        <v>-29056.61</v>
      </c>
      <c r="G71" s="8">
        <v>25105.86</v>
      </c>
      <c r="H71" s="7">
        <v>68991523.209999993</v>
      </c>
      <c r="I71" s="13">
        <v>0</v>
      </c>
    </row>
    <row r="72" spans="2:9" x14ac:dyDescent="0.3">
      <c r="B72" s="12">
        <v>45231</v>
      </c>
      <c r="C72" s="7">
        <v>21087.38</v>
      </c>
      <c r="D72" s="8">
        <v>19599</v>
      </c>
      <c r="E72" s="7">
        <v>11.573214285714286</v>
      </c>
      <c r="F72" s="8">
        <v>3901.82</v>
      </c>
      <c r="G72" s="8">
        <v>12720.36</v>
      </c>
      <c r="H72" s="7">
        <v>82489771.099999994</v>
      </c>
      <c r="I72" s="13">
        <v>0</v>
      </c>
    </row>
    <row r="73" spans="2:9" x14ac:dyDescent="0.3">
      <c r="B73" s="12">
        <v>45261</v>
      </c>
      <c r="C73" s="7">
        <v>22759.31</v>
      </c>
      <c r="D73" s="8">
        <v>21166</v>
      </c>
      <c r="E73" s="7">
        <v>13.512874999999999</v>
      </c>
      <c r="F73" s="8">
        <v>31959.78</v>
      </c>
      <c r="G73" s="8">
        <v>12942.25</v>
      </c>
      <c r="H73" s="7">
        <v>149197173.91999999</v>
      </c>
      <c r="I73" s="13">
        <v>0</v>
      </c>
    </row>
    <row r="74" spans="2:9" x14ac:dyDescent="0.3">
      <c r="B74" s="12">
        <v>45292</v>
      </c>
      <c r="C74" s="7">
        <v>22769.07</v>
      </c>
      <c r="D74" s="7">
        <v>21631.893181818181</v>
      </c>
      <c r="E74" s="7">
        <v>14.090454545454547</v>
      </c>
      <c r="F74" s="8">
        <v>-35977.870000000003</v>
      </c>
      <c r="G74" s="8">
        <v>26743.63</v>
      </c>
      <c r="H74" s="7">
        <v>89100210.560000002</v>
      </c>
      <c r="I74" s="13">
        <v>0</v>
      </c>
    </row>
    <row r="75" spans="2:9" x14ac:dyDescent="0.3">
      <c r="B75" s="12">
        <v>45323</v>
      </c>
      <c r="C75" s="7">
        <v>23078.720000000001</v>
      </c>
      <c r="D75" s="7">
        <v>21947.278571428571</v>
      </c>
      <c r="E75" s="7">
        <v>15.547857142857143</v>
      </c>
      <c r="F75" s="8">
        <v>-15962.72</v>
      </c>
      <c r="G75" s="8">
        <v>25379.3</v>
      </c>
      <c r="H75" s="7">
        <v>4622422.66</v>
      </c>
      <c r="I75" s="13">
        <v>0</v>
      </c>
    </row>
    <row r="76" spans="2:9" x14ac:dyDescent="0.3">
      <c r="B76" s="12">
        <v>45352</v>
      </c>
      <c r="C76" s="7">
        <v>23440.799999999999</v>
      </c>
      <c r="D76" s="7">
        <v>22187.310526315792</v>
      </c>
      <c r="E76" s="7">
        <v>13.688333333333334</v>
      </c>
      <c r="F76" s="8">
        <v>3314.47</v>
      </c>
      <c r="G76" s="8">
        <v>56311.6</v>
      </c>
      <c r="H76" s="7">
        <v>3455293.12</v>
      </c>
      <c r="I76" s="13">
        <v>0</v>
      </c>
    </row>
    <row r="77" spans="2:9" x14ac:dyDescent="0.3">
      <c r="B77" s="12">
        <v>45383</v>
      </c>
      <c r="C77" s="7">
        <v>23721.3</v>
      </c>
      <c r="D77" s="7">
        <v>22443.4575</v>
      </c>
      <c r="E77" s="7">
        <v>11.739000000000001</v>
      </c>
      <c r="F77" s="8">
        <v>-35692.19</v>
      </c>
      <c r="G77" s="8">
        <v>44186.28</v>
      </c>
      <c r="H77" s="7">
        <v>27572193.82</v>
      </c>
      <c r="I77" s="13">
        <v>0</v>
      </c>
    </row>
    <row r="78" spans="2:9" x14ac:dyDescent="0.3">
      <c r="B78" s="12">
        <v>45413</v>
      </c>
      <c r="C78" s="7">
        <v>23715.64</v>
      </c>
      <c r="D78" s="7">
        <v>22485.231818181819</v>
      </c>
      <c r="E78" s="7">
        <v>20.159772727272728</v>
      </c>
      <c r="F78" s="8">
        <v>-42214.28</v>
      </c>
      <c r="G78" s="8">
        <v>55733.04</v>
      </c>
      <c r="H78" s="7">
        <v>23363722.800000001</v>
      </c>
      <c r="I78" s="13">
        <v>1</v>
      </c>
    </row>
    <row r="79" spans="2:9" x14ac:dyDescent="0.3">
      <c r="B79" s="12">
        <v>45444</v>
      </c>
      <c r="C79" s="7">
        <v>25240.71</v>
      </c>
      <c r="D79" s="7">
        <v>23364.044736842101</v>
      </c>
      <c r="E79" s="7">
        <v>15.562368421052632</v>
      </c>
      <c r="F79" s="8">
        <v>2037.47</v>
      </c>
      <c r="G79" s="8">
        <v>28633.15</v>
      </c>
      <c r="H79" s="7">
        <v>5176311.97</v>
      </c>
      <c r="I79" s="13">
        <v>0</v>
      </c>
    </row>
    <row r="80" spans="2:9" x14ac:dyDescent="0.3">
      <c r="B80" s="12">
        <v>45474</v>
      </c>
      <c r="C80" s="7">
        <v>26231.91</v>
      </c>
      <c r="D80" s="7">
        <v>24495.152272727271</v>
      </c>
      <c r="E80" s="7">
        <v>13.540454545454542</v>
      </c>
      <c r="F80" s="8">
        <v>5407.83</v>
      </c>
      <c r="G80" s="8">
        <v>23486.02</v>
      </c>
      <c r="H80" s="7">
        <v>4991692.1500000004</v>
      </c>
      <c r="I80" s="13">
        <v>0</v>
      </c>
    </row>
    <row r="81" spans="2:9" x14ac:dyDescent="0.3">
      <c r="B81" s="12">
        <v>45505</v>
      </c>
      <c r="C81" s="7">
        <v>26544.73</v>
      </c>
      <c r="D81" s="7">
        <v>24613.073809523812</v>
      </c>
      <c r="E81" s="7">
        <v>14.900833333333335</v>
      </c>
      <c r="F81" s="8">
        <v>-20339.259999999998</v>
      </c>
      <c r="G81" s="8">
        <v>50174.86</v>
      </c>
      <c r="H81" s="7">
        <v>21888498.129999999</v>
      </c>
      <c r="I81" s="13">
        <v>0</v>
      </c>
    </row>
    <row r="82" spans="2:9" x14ac:dyDescent="0.3">
      <c r="B82" s="12">
        <v>45536</v>
      </c>
      <c r="C82" s="7">
        <v>27133.919999999998</v>
      </c>
      <c r="D82" s="7">
        <v>25470.090476190479</v>
      </c>
      <c r="E82" s="7">
        <v>13.286547619047621</v>
      </c>
      <c r="F82" s="8">
        <v>12611.79</v>
      </c>
      <c r="G82" s="8">
        <v>30857.3</v>
      </c>
      <c r="H82" s="7">
        <v>8384974.8499999996</v>
      </c>
      <c r="I82" s="13">
        <v>0</v>
      </c>
    </row>
    <row r="83" spans="2:9" x14ac:dyDescent="0.3">
      <c r="B83" s="12">
        <v>45566</v>
      </c>
      <c r="C83" s="7">
        <v>25451.599999999999</v>
      </c>
      <c r="D83" s="7">
        <v>24781.670454545456</v>
      </c>
      <c r="E83" s="7">
        <v>13.932386363636363</v>
      </c>
      <c r="F83" s="8">
        <v>-114445.89</v>
      </c>
      <c r="G83" s="8">
        <v>107254.68</v>
      </c>
      <c r="H83" s="7">
        <v>8361146.3700000001</v>
      </c>
      <c r="I83" s="13">
        <v>0</v>
      </c>
    </row>
    <row r="84" spans="2:9" x14ac:dyDescent="0.3">
      <c r="B84" s="12">
        <v>45597</v>
      </c>
      <c r="C84" s="7">
        <v>25393.48</v>
      </c>
      <c r="D84" s="7">
        <v>23969.847368421058</v>
      </c>
      <c r="E84" s="7">
        <v>15.254736842105265</v>
      </c>
      <c r="F84" s="8">
        <v>-45974.12</v>
      </c>
      <c r="G84" s="8">
        <v>44483.86</v>
      </c>
      <c r="H84" s="7">
        <v>6605889.7000000002</v>
      </c>
      <c r="I84" s="13">
        <v>0</v>
      </c>
    </row>
    <row r="85" spans="2:9" x14ac:dyDescent="0.3">
      <c r="B85" s="17">
        <v>45627</v>
      </c>
      <c r="C85" s="18">
        <v>24862.9</v>
      </c>
      <c r="D85" s="18">
        <v>24231.019047619047</v>
      </c>
      <c r="E85" s="18">
        <v>14.020714285714288</v>
      </c>
      <c r="F85" s="19">
        <v>-16982.48</v>
      </c>
      <c r="G85" s="19">
        <v>34194.730000000003</v>
      </c>
      <c r="H85" s="18">
        <v>6918280.5099999998</v>
      </c>
      <c r="I85" s="20">
        <v>0</v>
      </c>
    </row>
    <row r="102" spans="1:9" x14ac:dyDescent="0.3">
      <c r="A102" t="s">
        <v>1</v>
      </c>
      <c r="B102" t="s">
        <v>1</v>
      </c>
      <c r="C102" t="s">
        <v>19</v>
      </c>
      <c r="D102" t="s">
        <v>20</v>
      </c>
      <c r="E102" t="s">
        <v>4</v>
      </c>
      <c r="F102" t="s">
        <v>17</v>
      </c>
      <c r="G102" t="s">
        <v>18</v>
      </c>
      <c r="H102" t="s">
        <v>7</v>
      </c>
      <c r="I102" t="s">
        <v>21</v>
      </c>
    </row>
    <row r="103" spans="1:9" x14ac:dyDescent="0.3">
      <c r="A103" t="str">
        <f>TEXT(B103,"MMM-YYYY")</f>
        <v>Sep-2018</v>
      </c>
      <c r="B103" s="21">
        <v>43344</v>
      </c>
      <c r="C103">
        <v>11418.76</v>
      </c>
      <c r="D103">
        <v>11297.058333333332</v>
      </c>
      <c r="E103">
        <v>15.03486111</v>
      </c>
      <c r="F103">
        <v>-9620.56</v>
      </c>
      <c r="G103">
        <v>8663.8799999999992</v>
      </c>
      <c r="H103">
        <v>23209438.420000002</v>
      </c>
      <c r="I103">
        <v>0</v>
      </c>
    </row>
    <row r="104" spans="1:9" x14ac:dyDescent="0.3">
      <c r="A104" t="str">
        <f t="shared" ref="A104:A109" si="0">TEXT(B104,"MMM-YYYY")</f>
        <v>Mar-2019</v>
      </c>
      <c r="B104" s="21">
        <v>43525</v>
      </c>
      <c r="C104">
        <v>12090.72</v>
      </c>
      <c r="D104">
        <v>11273.484210526314</v>
      </c>
      <c r="E104">
        <v>15.989605259999999</v>
      </c>
      <c r="F104">
        <v>32371.43</v>
      </c>
      <c r="G104">
        <v>-13930.25</v>
      </c>
      <c r="H104">
        <v>22581719.859999999</v>
      </c>
      <c r="I104">
        <v>0</v>
      </c>
    </row>
    <row r="105" spans="1:9" x14ac:dyDescent="0.3">
      <c r="A105" t="str">
        <f t="shared" si="0"/>
        <v>Mar-2020</v>
      </c>
      <c r="B105" s="21">
        <v>43891</v>
      </c>
      <c r="C105">
        <v>9000.99</v>
      </c>
      <c r="D105">
        <v>9426.3119047619057</v>
      </c>
      <c r="E105">
        <v>53.063571428571429</v>
      </c>
      <c r="F105">
        <v>-65816.7</v>
      </c>
      <c r="G105">
        <v>55595.18</v>
      </c>
      <c r="H105">
        <v>23968171.75</v>
      </c>
      <c r="I105">
        <v>1</v>
      </c>
    </row>
    <row r="106" spans="1:9" x14ac:dyDescent="0.3">
      <c r="A106" t="str">
        <f t="shared" si="0"/>
        <v>Mar-2021</v>
      </c>
      <c r="B106" s="21">
        <v>44256</v>
      </c>
      <c r="C106">
        <v>15372.5</v>
      </c>
      <c r="D106">
        <v>14835.099999999999</v>
      </c>
      <c r="E106">
        <v>20.65</v>
      </c>
      <c r="F106">
        <v>1245.22</v>
      </c>
      <c r="G106">
        <v>5204.42</v>
      </c>
      <c r="H106">
        <v>97975987.430000007</v>
      </c>
      <c r="I106">
        <v>1</v>
      </c>
    </row>
    <row r="107" spans="1:9" x14ac:dyDescent="0.3">
      <c r="A107" t="str">
        <f t="shared" si="0"/>
        <v>Jun-2022</v>
      </c>
      <c r="B107" s="21">
        <v>44713</v>
      </c>
      <c r="C107">
        <v>16554.099999999999</v>
      </c>
      <c r="D107">
        <v>15933.163636363635</v>
      </c>
      <c r="E107">
        <v>21.128409090909091</v>
      </c>
      <c r="F107">
        <v>-58112.37</v>
      </c>
      <c r="G107">
        <v>46599.23</v>
      </c>
      <c r="H107">
        <v>219486616.02000001</v>
      </c>
      <c r="I107">
        <v>1</v>
      </c>
    </row>
    <row r="108" spans="1:9" x14ac:dyDescent="0.3">
      <c r="A108" t="str">
        <f t="shared" si="0"/>
        <v>Mar-2023</v>
      </c>
      <c r="B108" s="21">
        <v>44986</v>
      </c>
      <c r="C108">
        <v>18256.53</v>
      </c>
      <c r="D108">
        <v>17226</v>
      </c>
      <c r="E108">
        <v>14.35464285714286</v>
      </c>
      <c r="F108">
        <v>1997.7</v>
      </c>
      <c r="G108">
        <v>30548.77</v>
      </c>
      <c r="H108">
        <v>2525378.0499999998</v>
      </c>
      <c r="I108">
        <v>0</v>
      </c>
    </row>
    <row r="109" spans="1:9" x14ac:dyDescent="0.3">
      <c r="A109" t="str">
        <f t="shared" si="0"/>
        <v>Mar-2024</v>
      </c>
      <c r="B109" s="21">
        <v>45352</v>
      </c>
      <c r="C109">
        <v>23440.799999999999</v>
      </c>
      <c r="D109">
        <v>22187.310526315792</v>
      </c>
      <c r="E109">
        <v>13.688333333333334</v>
      </c>
      <c r="F109">
        <v>3314.47</v>
      </c>
      <c r="G109">
        <v>56311.6</v>
      </c>
      <c r="H109">
        <v>3455293.12</v>
      </c>
      <c r="I109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6BD9-EE48-4844-8E83-FD5081A763DE}">
  <dimension ref="A1:N104"/>
  <sheetViews>
    <sheetView topLeftCell="L1" workbookViewId="0">
      <selection activeCell="M2" sqref="M1:N5"/>
    </sheetView>
  </sheetViews>
  <sheetFormatPr defaultRowHeight="14.4" x14ac:dyDescent="0.3"/>
  <cols>
    <col min="1" max="1" width="18.6640625" customWidth="1"/>
    <col min="4" max="4" width="16.6640625" customWidth="1"/>
    <col min="6" max="6" width="13.6640625" customWidth="1"/>
    <col min="8" max="8" width="15.6640625" customWidth="1"/>
    <col min="11" max="11" width="15.88671875" customWidth="1"/>
    <col min="12" max="12" width="18.5546875" customWidth="1"/>
    <col min="13" max="13" width="16.44140625" customWidth="1"/>
    <col min="14" max="14" width="15.6640625" customWidth="1"/>
  </cols>
  <sheetData>
    <row r="1" spans="1:14" x14ac:dyDescent="0.3">
      <c r="A1" s="8" t="s">
        <v>17</v>
      </c>
      <c r="B1" s="8" t="s">
        <v>18</v>
      </c>
      <c r="C1" s="8" t="s">
        <v>7</v>
      </c>
      <c r="D1" s="8" t="s">
        <v>21</v>
      </c>
      <c r="F1" s="23" t="s">
        <v>34</v>
      </c>
      <c r="G1" s="23"/>
      <c r="H1" s="23"/>
      <c r="I1" s="23" t="s">
        <v>33</v>
      </c>
      <c r="J1" s="23"/>
      <c r="K1" s="23"/>
      <c r="M1" t="s">
        <v>47</v>
      </c>
    </row>
    <row r="2" spans="1:14" x14ac:dyDescent="0.3">
      <c r="A2" s="8">
        <v>-1103.3699999999999</v>
      </c>
      <c r="B2" s="8">
        <v>375.55</v>
      </c>
      <c r="C2" s="7">
        <v>16947159.460000001</v>
      </c>
      <c r="D2" s="8">
        <v>0</v>
      </c>
      <c r="F2" s="8" t="s">
        <v>17</v>
      </c>
      <c r="G2" s="8" t="s">
        <v>18</v>
      </c>
      <c r="H2" s="8" t="s">
        <v>7</v>
      </c>
      <c r="I2" s="8" t="s">
        <v>17</v>
      </c>
      <c r="J2" s="8" t="s">
        <v>18</v>
      </c>
      <c r="K2" s="8" t="s">
        <v>7</v>
      </c>
      <c r="M2" s="8" t="s">
        <v>46</v>
      </c>
      <c r="N2" s="8" t="s">
        <v>44</v>
      </c>
    </row>
    <row r="3" spans="1:14" x14ac:dyDescent="0.3">
      <c r="A3" s="8">
        <v>4934.1099999999997</v>
      </c>
      <c r="B3" s="8">
        <v>1309.47</v>
      </c>
      <c r="C3" s="7">
        <v>16748057.109999999</v>
      </c>
      <c r="D3" s="8">
        <v>0</v>
      </c>
      <c r="F3" s="8">
        <f>IF($D2=0,A2,"")</f>
        <v>-1103.3699999999999</v>
      </c>
      <c r="G3" s="8">
        <f t="shared" ref="G3:H11" si="0">IF($D2=0,B2,"")</f>
        <v>375.55</v>
      </c>
      <c r="H3" s="8">
        <f t="shared" si="0"/>
        <v>16947159.460000001</v>
      </c>
      <c r="I3" s="8">
        <f t="shared" ref="I3:K4" si="1">IF($D11=1,A11,"")</f>
        <v>7904.85</v>
      </c>
      <c r="J3" s="8">
        <f t="shared" si="1"/>
        <v>6693.91</v>
      </c>
      <c r="K3" s="8">
        <f t="shared" si="1"/>
        <v>23245250.670000002</v>
      </c>
      <c r="M3" s="8" t="s">
        <v>17</v>
      </c>
      <c r="N3" s="8">
        <v>0.99109630819740946</v>
      </c>
    </row>
    <row r="4" spans="1:14" x14ac:dyDescent="0.3">
      <c r="A4" s="8">
        <v>-29201.200000000001</v>
      </c>
      <c r="B4" s="8">
        <v>26033.9</v>
      </c>
      <c r="C4" s="7">
        <v>18130032.670000002</v>
      </c>
      <c r="D4" s="8">
        <v>0</v>
      </c>
      <c r="F4" s="8">
        <f t="shared" ref="F4:F60" si="2">IF($D3=0,A3,"")</f>
        <v>4934.1099999999997</v>
      </c>
      <c r="G4" s="8">
        <f t="shared" si="0"/>
        <v>1309.47</v>
      </c>
      <c r="H4" s="8">
        <f t="shared" si="0"/>
        <v>16748057.109999999</v>
      </c>
      <c r="I4" s="8">
        <f t="shared" si="1"/>
        <v>-18619.150000000001</v>
      </c>
      <c r="J4" s="8">
        <f t="shared" si="1"/>
        <v>17813.009999999998</v>
      </c>
      <c r="K4" s="8">
        <f t="shared" si="1"/>
        <v>18386201.91</v>
      </c>
      <c r="M4" s="8" t="s">
        <v>18</v>
      </c>
      <c r="N4" s="8">
        <v>0.21373129660918833</v>
      </c>
    </row>
    <row r="5" spans="1:14" x14ac:dyDescent="0.3">
      <c r="A5" s="8">
        <v>-9468.68</v>
      </c>
      <c r="B5" s="8">
        <v>12504.04</v>
      </c>
      <c r="C5" s="7">
        <v>16333294.869999999</v>
      </c>
      <c r="D5" s="8">
        <v>0</v>
      </c>
      <c r="F5" s="8">
        <f t="shared" si="2"/>
        <v>-29201.200000000001</v>
      </c>
      <c r="G5" s="8">
        <f t="shared" si="0"/>
        <v>26033.9</v>
      </c>
      <c r="H5" s="8">
        <f t="shared" si="0"/>
        <v>18130032.670000002</v>
      </c>
      <c r="I5" s="8">
        <f t="shared" ref="I5:K6" si="3">IF($D17=1,A17,"")</f>
        <v>12749.55</v>
      </c>
      <c r="J5" s="8">
        <f t="shared" si="3"/>
        <v>-4219.46</v>
      </c>
      <c r="K5" s="8">
        <f t="shared" si="3"/>
        <v>23270669.890000001</v>
      </c>
      <c r="M5" s="8" t="s">
        <v>7</v>
      </c>
      <c r="N5" s="8">
        <v>2.3682089279135457E-4</v>
      </c>
    </row>
    <row r="6" spans="1:14" x14ac:dyDescent="0.3">
      <c r="A6" s="8">
        <v>-2228.5300000000002</v>
      </c>
      <c r="B6" s="8">
        <v>2822.72</v>
      </c>
      <c r="C6" s="7">
        <v>19905195.239999998</v>
      </c>
      <c r="D6" s="8">
        <v>0</v>
      </c>
      <c r="F6" s="8">
        <f t="shared" si="2"/>
        <v>-9468.68</v>
      </c>
      <c r="G6" s="8">
        <f t="shared" si="0"/>
        <v>12504.04</v>
      </c>
      <c r="H6" s="8">
        <f t="shared" si="0"/>
        <v>16333294.869999999</v>
      </c>
      <c r="I6" s="8">
        <f t="shared" si="3"/>
        <v>-2135.85</v>
      </c>
      <c r="J6" s="8">
        <f t="shared" si="3"/>
        <v>5316.34</v>
      </c>
      <c r="K6" s="8">
        <f t="shared" si="3"/>
        <v>26392563.16</v>
      </c>
    </row>
    <row r="7" spans="1:14" x14ac:dyDescent="0.3">
      <c r="A7" s="8">
        <v>-2768.75</v>
      </c>
      <c r="B7" s="8">
        <v>3845.87</v>
      </c>
      <c r="C7" s="7">
        <v>19266500.129999999</v>
      </c>
      <c r="D7" s="8">
        <v>0</v>
      </c>
      <c r="F7" s="8">
        <f t="shared" si="2"/>
        <v>-2228.5300000000002</v>
      </c>
      <c r="G7" s="8">
        <f t="shared" si="0"/>
        <v>2822.72</v>
      </c>
      <c r="H7" s="8">
        <f t="shared" si="0"/>
        <v>19905195.239999998</v>
      </c>
      <c r="I7" s="8">
        <f t="shared" ref="I7:I20" si="4">IF($D28=1,A28,"")</f>
        <v>-65816.7</v>
      </c>
      <c r="J7" s="8">
        <f t="shared" ref="J7:J20" si="5">IF($D28=1,B28,"")</f>
        <v>55595.18</v>
      </c>
      <c r="K7" s="8">
        <f t="shared" ref="K7:K20" si="6">IF($D28=1,C28,"")</f>
        <v>23968171.75</v>
      </c>
    </row>
    <row r="8" spans="1:14" x14ac:dyDescent="0.3">
      <c r="A8" s="8">
        <v>-10249.17</v>
      </c>
      <c r="B8" s="8">
        <v>14146.15</v>
      </c>
      <c r="C8" s="7">
        <v>19385123.010000002</v>
      </c>
      <c r="D8" s="8">
        <v>0</v>
      </c>
      <c r="F8" s="8">
        <f t="shared" si="2"/>
        <v>-2768.75</v>
      </c>
      <c r="G8" s="8">
        <f t="shared" si="0"/>
        <v>3845.87</v>
      </c>
      <c r="H8" s="8">
        <f t="shared" si="0"/>
        <v>19266500.129999999</v>
      </c>
      <c r="I8" s="8">
        <f t="shared" si="4"/>
        <v>-5208.5</v>
      </c>
      <c r="J8" s="8">
        <f t="shared" si="5"/>
        <v>-117</v>
      </c>
      <c r="K8" s="8">
        <f t="shared" si="6"/>
        <v>18943089.440000001</v>
      </c>
    </row>
    <row r="9" spans="1:14" x14ac:dyDescent="0.3">
      <c r="A9" s="8">
        <v>-12359.71</v>
      </c>
      <c r="B9" s="8">
        <v>15054.48</v>
      </c>
      <c r="C9" s="7">
        <v>20078179.969999999</v>
      </c>
      <c r="D9" s="8">
        <v>0</v>
      </c>
      <c r="F9" s="8">
        <f t="shared" si="2"/>
        <v>-10249.17</v>
      </c>
      <c r="G9" s="8">
        <f t="shared" si="0"/>
        <v>14146.15</v>
      </c>
      <c r="H9" s="8">
        <f t="shared" si="0"/>
        <v>19385123.010000002</v>
      </c>
      <c r="I9" s="8">
        <f t="shared" si="4"/>
        <v>13914.49</v>
      </c>
      <c r="J9" s="8">
        <f t="shared" si="5"/>
        <v>12293.19</v>
      </c>
      <c r="K9" s="8">
        <f t="shared" si="6"/>
        <v>25386221.010000002</v>
      </c>
    </row>
    <row r="10" spans="1:14" x14ac:dyDescent="0.3">
      <c r="A10" s="8">
        <v>-9620.56</v>
      </c>
      <c r="B10" s="8">
        <v>8663.8799999999992</v>
      </c>
      <c r="C10" s="7">
        <v>23209438.420000002</v>
      </c>
      <c r="D10" s="8">
        <v>0</v>
      </c>
      <c r="F10" s="8">
        <f t="shared" si="2"/>
        <v>-12359.71</v>
      </c>
      <c r="G10" s="8">
        <f t="shared" si="0"/>
        <v>15054.48</v>
      </c>
      <c r="H10" s="8">
        <f t="shared" si="0"/>
        <v>20078179.969999999</v>
      </c>
      <c r="I10" s="8">
        <f t="shared" si="4"/>
        <v>5492.95</v>
      </c>
      <c r="J10" s="8">
        <f t="shared" si="5"/>
        <v>2434.4</v>
      </c>
      <c r="K10" s="8">
        <f t="shared" si="6"/>
        <v>30252399.550000001</v>
      </c>
    </row>
    <row r="11" spans="1:14" x14ac:dyDescent="0.3">
      <c r="A11" s="8">
        <v>7904.85</v>
      </c>
      <c r="B11" s="8">
        <v>6693.91</v>
      </c>
      <c r="C11" s="7">
        <v>23245250.670000002</v>
      </c>
      <c r="D11" s="8">
        <v>1</v>
      </c>
      <c r="F11" s="8">
        <f t="shared" si="2"/>
        <v>-9620.56</v>
      </c>
      <c r="G11" s="8">
        <f t="shared" si="0"/>
        <v>8663.8799999999992</v>
      </c>
      <c r="H11" s="8">
        <f t="shared" si="0"/>
        <v>23209438.420000002</v>
      </c>
      <c r="I11" s="8">
        <f t="shared" si="4"/>
        <v>2490.19</v>
      </c>
      <c r="J11" s="8">
        <f t="shared" si="5"/>
        <v>-10007.879999999999</v>
      </c>
      <c r="K11" s="8">
        <f t="shared" si="6"/>
        <v>38103634.630000003</v>
      </c>
    </row>
    <row r="12" spans="1:14" x14ac:dyDescent="0.3">
      <c r="A12" s="8">
        <v>-18619.150000000001</v>
      </c>
      <c r="B12" s="8">
        <v>17813.009999999998</v>
      </c>
      <c r="C12" s="7">
        <v>18386201.91</v>
      </c>
      <c r="D12" s="8">
        <v>1</v>
      </c>
      <c r="F12" s="8">
        <f t="shared" ref="F12:H15" si="7">IF($D13=0,A13,"")</f>
        <v>9568</v>
      </c>
      <c r="G12" s="8">
        <f t="shared" si="7"/>
        <v>398.73</v>
      </c>
      <c r="H12" s="8">
        <f t="shared" si="7"/>
        <v>19833818.77</v>
      </c>
      <c r="I12" s="8">
        <f t="shared" si="4"/>
        <v>15749.86</v>
      </c>
      <c r="J12" s="8">
        <f t="shared" si="5"/>
        <v>-11046.78</v>
      </c>
      <c r="K12" s="8">
        <f t="shared" si="6"/>
        <v>38639563.450000003</v>
      </c>
    </row>
    <row r="13" spans="1:14" x14ac:dyDescent="0.3">
      <c r="A13" s="8">
        <v>9568</v>
      </c>
      <c r="B13" s="8">
        <v>398.73</v>
      </c>
      <c r="C13" s="7">
        <v>19833818.77</v>
      </c>
      <c r="D13" s="8">
        <v>0</v>
      </c>
      <c r="F13" s="8">
        <f t="shared" si="7"/>
        <v>127.67</v>
      </c>
      <c r="G13" s="8">
        <f t="shared" si="7"/>
        <v>2146.8000000000002</v>
      </c>
      <c r="H13" s="8">
        <f t="shared" si="7"/>
        <v>22832961.710000001</v>
      </c>
      <c r="I13" s="8">
        <f t="shared" si="4"/>
        <v>-11410.69</v>
      </c>
      <c r="J13" s="8">
        <f t="shared" si="5"/>
        <v>110.3</v>
      </c>
      <c r="K13" s="8">
        <f t="shared" si="6"/>
        <v>51492601.049999997</v>
      </c>
    </row>
    <row r="14" spans="1:14" x14ac:dyDescent="0.3">
      <c r="A14" s="8">
        <v>127.67</v>
      </c>
      <c r="B14" s="8">
        <v>2146.8000000000002</v>
      </c>
      <c r="C14" s="7">
        <v>22832961.710000001</v>
      </c>
      <c r="D14" s="8">
        <v>0</v>
      </c>
      <c r="F14" s="8">
        <f t="shared" si="7"/>
        <v>13564.57</v>
      </c>
      <c r="G14" s="8">
        <f t="shared" si="7"/>
        <v>-565.89</v>
      </c>
      <c r="H14" s="8">
        <f t="shared" si="7"/>
        <v>19686714.039999999</v>
      </c>
      <c r="I14" s="8">
        <f t="shared" si="4"/>
        <v>14537.4</v>
      </c>
      <c r="J14" s="8">
        <f t="shared" si="5"/>
        <v>-17318.439999999999</v>
      </c>
      <c r="K14" s="8">
        <f t="shared" si="6"/>
        <v>60358608.049999997</v>
      </c>
    </row>
    <row r="15" spans="1:14" x14ac:dyDescent="0.3">
      <c r="A15" s="8">
        <v>13564.57</v>
      </c>
      <c r="B15" s="8">
        <v>-565.89</v>
      </c>
      <c r="C15" s="7">
        <v>19686714.039999999</v>
      </c>
      <c r="D15" s="8">
        <v>0</v>
      </c>
      <c r="F15" s="8">
        <f t="shared" si="7"/>
        <v>32371.43</v>
      </c>
      <c r="G15" s="8">
        <f t="shared" si="7"/>
        <v>-13930.25</v>
      </c>
      <c r="H15" s="8">
        <f t="shared" si="7"/>
        <v>22581719.859999999</v>
      </c>
      <c r="I15" s="8">
        <f t="shared" si="4"/>
        <v>65317.13</v>
      </c>
      <c r="J15" s="8">
        <f t="shared" si="5"/>
        <v>-48319.17</v>
      </c>
      <c r="K15" s="8">
        <f t="shared" si="6"/>
        <v>58450590.560000002</v>
      </c>
    </row>
    <row r="16" spans="1:14" x14ac:dyDescent="0.3">
      <c r="A16" s="8">
        <v>32371.43</v>
      </c>
      <c r="B16" s="8">
        <v>-13930.25</v>
      </c>
      <c r="C16" s="7">
        <v>22581719.859999999</v>
      </c>
      <c r="D16" s="8">
        <v>0</v>
      </c>
      <c r="F16" s="8">
        <f t="shared" ref="F16:F24" si="8">IF($D19=0,A19,"")</f>
        <v>-688.5</v>
      </c>
      <c r="G16" s="8">
        <f t="shared" ref="G16:G24" si="9">IF($D19=0,B19,"")</f>
        <v>3643.31</v>
      </c>
      <c r="H16" s="8">
        <f t="shared" ref="H16:H24" si="10">IF($D19=0,C19,"")</f>
        <v>25671934.32</v>
      </c>
      <c r="I16" s="8">
        <f t="shared" si="4"/>
        <v>48223.94</v>
      </c>
      <c r="J16" s="8">
        <f t="shared" si="5"/>
        <v>-37293.53</v>
      </c>
      <c r="K16" s="8">
        <f t="shared" si="6"/>
        <v>68715461.040000007</v>
      </c>
    </row>
    <row r="17" spans="1:11" x14ac:dyDescent="0.3">
      <c r="A17" s="8">
        <v>12749.55</v>
      </c>
      <c r="B17" s="8">
        <v>-4219.46</v>
      </c>
      <c r="C17" s="7">
        <v>23270669.890000001</v>
      </c>
      <c r="D17" s="8">
        <v>1</v>
      </c>
      <c r="F17" s="8">
        <f t="shared" si="8"/>
        <v>-16870.13</v>
      </c>
      <c r="G17" s="8">
        <f t="shared" si="9"/>
        <v>20394.52</v>
      </c>
      <c r="H17" s="8">
        <f t="shared" si="10"/>
        <v>29343844.609999999</v>
      </c>
      <c r="I17" s="8">
        <f t="shared" si="4"/>
        <v>8980.81</v>
      </c>
      <c r="J17" s="8">
        <f t="shared" si="5"/>
        <v>-11970.54</v>
      </c>
      <c r="K17" s="8">
        <f t="shared" si="6"/>
        <v>78425626.959999993</v>
      </c>
    </row>
    <row r="18" spans="1:11" x14ac:dyDescent="0.3">
      <c r="A18" s="8">
        <v>-2135.85</v>
      </c>
      <c r="B18" s="8">
        <v>5316.34</v>
      </c>
      <c r="C18" s="7">
        <v>26392563.16</v>
      </c>
      <c r="D18" s="8">
        <v>1</v>
      </c>
      <c r="F18" s="8">
        <f t="shared" si="8"/>
        <v>-14828.76</v>
      </c>
      <c r="G18" s="8">
        <f t="shared" si="9"/>
        <v>20933.59</v>
      </c>
      <c r="H18" s="8">
        <f t="shared" si="10"/>
        <v>31206432.350000001</v>
      </c>
      <c r="I18" s="8">
        <f t="shared" si="4"/>
        <v>42044.46</v>
      </c>
      <c r="J18" s="8">
        <f t="shared" si="5"/>
        <v>-16358.1</v>
      </c>
      <c r="K18" s="8">
        <f t="shared" si="6"/>
        <v>93663167.159999996</v>
      </c>
    </row>
    <row r="19" spans="1:11" x14ac:dyDescent="0.3">
      <c r="A19" s="8">
        <v>-688.5</v>
      </c>
      <c r="B19" s="8">
        <v>3643.31</v>
      </c>
      <c r="C19" s="7">
        <v>25671934.32</v>
      </c>
      <c r="D19" s="8">
        <v>0</v>
      </c>
      <c r="F19" s="8">
        <f t="shared" si="8"/>
        <v>-6624.05</v>
      </c>
      <c r="G19" s="8">
        <f t="shared" si="9"/>
        <v>12490.81</v>
      </c>
      <c r="H19" s="8">
        <f t="shared" si="10"/>
        <v>28574702.170000002</v>
      </c>
      <c r="I19" s="8">
        <f t="shared" si="4"/>
        <v>1245.22</v>
      </c>
      <c r="J19" s="8">
        <f t="shared" si="5"/>
        <v>5204.42</v>
      </c>
      <c r="K19" s="8">
        <f t="shared" si="6"/>
        <v>97975987.430000007</v>
      </c>
    </row>
    <row r="20" spans="1:11" x14ac:dyDescent="0.3">
      <c r="A20" s="8">
        <v>-16870.13</v>
      </c>
      <c r="B20" s="8">
        <v>20394.52</v>
      </c>
      <c r="C20" s="7">
        <v>29343844.609999999</v>
      </c>
      <c r="D20" s="8">
        <v>0</v>
      </c>
      <c r="F20" s="8">
        <f t="shared" si="8"/>
        <v>8595.66</v>
      </c>
      <c r="G20" s="8">
        <f t="shared" si="9"/>
        <v>4758.4799999999996</v>
      </c>
      <c r="H20" s="8">
        <f t="shared" si="10"/>
        <v>29027816.850000001</v>
      </c>
      <c r="I20" s="8">
        <f t="shared" si="4"/>
        <v>-12039.43</v>
      </c>
      <c r="J20" s="8">
        <f t="shared" si="5"/>
        <v>11359.88</v>
      </c>
      <c r="K20" s="8">
        <f t="shared" si="6"/>
        <v>93312391.849999994</v>
      </c>
    </row>
    <row r="21" spans="1:11" x14ac:dyDescent="0.3">
      <c r="A21" s="8">
        <v>-14828.76</v>
      </c>
      <c r="B21" s="8">
        <v>20933.59</v>
      </c>
      <c r="C21" s="7">
        <v>31206432.350000001</v>
      </c>
      <c r="D21" s="8">
        <v>0</v>
      </c>
      <c r="F21" s="8">
        <f t="shared" si="8"/>
        <v>12924.93</v>
      </c>
      <c r="G21" s="8">
        <f t="shared" si="9"/>
        <v>-7970.29</v>
      </c>
      <c r="H21" s="8">
        <f t="shared" si="10"/>
        <v>27369064.940000001</v>
      </c>
      <c r="I21" s="8">
        <f>IF($D46=1,A46,"")</f>
        <v>913.77</v>
      </c>
      <c r="J21" s="8">
        <f>IF($D46=1,B46,"")</f>
        <v>5948.85</v>
      </c>
      <c r="K21" s="8">
        <f>IF($D46=1,C46,"")</f>
        <v>149224890.37</v>
      </c>
    </row>
    <row r="22" spans="1:11" x14ac:dyDescent="0.3">
      <c r="A22" s="8">
        <v>-6624.05</v>
      </c>
      <c r="B22" s="8">
        <v>12490.81</v>
      </c>
      <c r="C22" s="7">
        <v>28574702.170000002</v>
      </c>
      <c r="D22" s="8">
        <v>0</v>
      </c>
      <c r="F22" s="8">
        <f t="shared" si="8"/>
        <v>694.12</v>
      </c>
      <c r="G22" s="8">
        <f t="shared" si="9"/>
        <v>-740.76</v>
      </c>
      <c r="H22" s="8">
        <f t="shared" si="10"/>
        <v>28247951.379999999</v>
      </c>
      <c r="I22" s="8">
        <f>IF($D48=1,A48,"")</f>
        <v>-39901.919999999998</v>
      </c>
      <c r="J22" s="8">
        <f>IF($D48=1,B48,"")</f>
        <v>30560.27</v>
      </c>
      <c r="K22" s="8">
        <f>IF($D48=1,C48,"")</f>
        <v>152973110.56999999</v>
      </c>
    </row>
    <row r="23" spans="1:11" x14ac:dyDescent="0.3">
      <c r="A23" s="8">
        <v>8595.66</v>
      </c>
      <c r="B23" s="8">
        <v>4758.4799999999996</v>
      </c>
      <c r="C23" s="7">
        <v>29027816.850000001</v>
      </c>
      <c r="D23" s="8">
        <v>0</v>
      </c>
      <c r="F23" s="8">
        <f t="shared" si="8"/>
        <v>-5359.51</v>
      </c>
      <c r="G23" s="8">
        <f t="shared" si="9"/>
        <v>1073.49</v>
      </c>
      <c r="H23" s="8">
        <f t="shared" si="10"/>
        <v>35288275.579999998</v>
      </c>
      <c r="I23" s="8">
        <f t="shared" ref="I23:I32" si="11">IF($D50=1,A50,"")</f>
        <v>-41346.35</v>
      </c>
      <c r="J23" s="8">
        <f t="shared" ref="J23:J32" si="12">IF($D50=1,B50,"")</f>
        <v>21928.400000000001</v>
      </c>
      <c r="K23" s="8">
        <f t="shared" ref="K23:K32" si="13">IF($D50=1,C50,"")</f>
        <v>175254530.56999999</v>
      </c>
    </row>
    <row r="24" spans="1:11" x14ac:dyDescent="0.3">
      <c r="A24" s="8">
        <v>12924.93</v>
      </c>
      <c r="B24" s="8">
        <v>-7970.29</v>
      </c>
      <c r="C24" s="7">
        <v>27369064.940000001</v>
      </c>
      <c r="D24" s="8">
        <v>0</v>
      </c>
      <c r="F24" s="8">
        <f t="shared" si="8"/>
        <v>-12684.3</v>
      </c>
      <c r="G24" s="8">
        <f t="shared" si="9"/>
        <v>16933.03</v>
      </c>
      <c r="H24" s="8">
        <f t="shared" si="10"/>
        <v>35763137.170000002</v>
      </c>
      <c r="I24" s="8">
        <f t="shared" si="11"/>
        <v>-45720.07</v>
      </c>
      <c r="J24" s="8">
        <f t="shared" si="12"/>
        <v>42084.07</v>
      </c>
      <c r="K24" s="8">
        <f t="shared" si="13"/>
        <v>200557773.19</v>
      </c>
    </row>
    <row r="25" spans="1:11" x14ac:dyDescent="0.3">
      <c r="A25" s="8">
        <v>694.12</v>
      </c>
      <c r="B25" s="8">
        <v>-740.76</v>
      </c>
      <c r="C25" s="7">
        <v>28247951.379999999</v>
      </c>
      <c r="D25" s="8">
        <v>0</v>
      </c>
      <c r="F25" s="8">
        <f t="shared" ref="F25:H28" si="14">IF($D42=0,A42,"")</f>
        <v>-6015.34</v>
      </c>
      <c r="G25" s="8">
        <f t="shared" si="14"/>
        <v>2067.23</v>
      </c>
      <c r="H25" s="8">
        <f t="shared" si="14"/>
        <v>94927122.959999993</v>
      </c>
      <c r="I25" s="8">
        <f t="shared" si="11"/>
        <v>-43281.31</v>
      </c>
      <c r="J25" s="8">
        <f t="shared" si="12"/>
        <v>39677.03</v>
      </c>
      <c r="K25" s="8">
        <f t="shared" si="13"/>
        <v>187008999.80000001</v>
      </c>
    </row>
    <row r="26" spans="1:11" x14ac:dyDescent="0.3">
      <c r="A26" s="8">
        <v>-5359.51</v>
      </c>
      <c r="B26" s="8">
        <v>1073.49</v>
      </c>
      <c r="C26" s="7">
        <v>35288275.579999998</v>
      </c>
      <c r="D26" s="8">
        <v>0</v>
      </c>
      <c r="F26" s="8">
        <f t="shared" si="14"/>
        <v>-25.89</v>
      </c>
      <c r="G26" s="8">
        <f t="shared" si="14"/>
        <v>7043.51</v>
      </c>
      <c r="H26" s="8">
        <f t="shared" si="14"/>
        <v>96692147.459999993</v>
      </c>
      <c r="I26" s="8">
        <f t="shared" si="11"/>
        <v>-40652.71</v>
      </c>
      <c r="J26" s="8">
        <f t="shared" si="12"/>
        <v>29869.52</v>
      </c>
      <c r="K26" s="8">
        <f t="shared" si="13"/>
        <v>192502411.69999999</v>
      </c>
    </row>
    <row r="27" spans="1:11" x14ac:dyDescent="0.3">
      <c r="A27" s="8">
        <v>-12684.3</v>
      </c>
      <c r="B27" s="8">
        <v>16933.03</v>
      </c>
      <c r="C27" s="7">
        <v>35763137.170000002</v>
      </c>
      <c r="D27" s="8">
        <v>0</v>
      </c>
      <c r="F27" s="8">
        <f t="shared" si="14"/>
        <v>-23193.39</v>
      </c>
      <c r="G27" s="8">
        <f t="shared" si="14"/>
        <v>18393.919999999998</v>
      </c>
      <c r="H27" s="8">
        <f t="shared" si="14"/>
        <v>115889993.06</v>
      </c>
      <c r="I27" s="8">
        <f t="shared" si="11"/>
        <v>-54292.47</v>
      </c>
      <c r="J27" s="8">
        <f t="shared" si="12"/>
        <v>50835.54</v>
      </c>
      <c r="K27" s="8">
        <f t="shared" si="13"/>
        <v>212279576.15000001</v>
      </c>
    </row>
    <row r="28" spans="1:11" x14ac:dyDescent="0.3">
      <c r="A28" s="8">
        <v>-65816.7</v>
      </c>
      <c r="B28" s="8">
        <v>55595.18</v>
      </c>
      <c r="C28" s="7">
        <v>23968171.75</v>
      </c>
      <c r="D28" s="8">
        <v>1</v>
      </c>
      <c r="F28" s="8">
        <f t="shared" si="14"/>
        <v>-2568.52</v>
      </c>
      <c r="G28" s="8">
        <f t="shared" si="14"/>
        <v>6894.69</v>
      </c>
      <c r="H28" s="8">
        <f t="shared" si="14"/>
        <v>110250209.65000001</v>
      </c>
      <c r="I28" s="8">
        <f t="shared" si="11"/>
        <v>-58112.37</v>
      </c>
      <c r="J28" s="8">
        <f t="shared" si="12"/>
        <v>46599.23</v>
      </c>
      <c r="K28" s="8">
        <f t="shared" si="13"/>
        <v>219486616.02000001</v>
      </c>
    </row>
    <row r="29" spans="1:11" x14ac:dyDescent="0.3">
      <c r="A29" s="8">
        <v>-5208.5</v>
      </c>
      <c r="B29" s="8">
        <v>-117</v>
      </c>
      <c r="C29" s="7">
        <v>18943089.440000001</v>
      </c>
      <c r="D29" s="8">
        <v>1</v>
      </c>
      <c r="F29" s="8">
        <f>IF($D47=0,A47,"")</f>
        <v>-25572.19</v>
      </c>
      <c r="G29" s="8">
        <f>IF($D47=0,B47,"")</f>
        <v>4470.99</v>
      </c>
      <c r="H29" s="8">
        <f>IF($D47=0,C47,"")</f>
        <v>141511127.25999999</v>
      </c>
      <c r="I29" s="8">
        <f t="shared" si="11"/>
        <v>-6567.71</v>
      </c>
      <c r="J29" s="8">
        <f t="shared" si="12"/>
        <v>10546.02</v>
      </c>
      <c r="K29" s="8">
        <f t="shared" si="13"/>
        <v>235717204.52000001</v>
      </c>
    </row>
    <row r="30" spans="1:11" x14ac:dyDescent="0.3">
      <c r="A30" s="8">
        <v>13914.49</v>
      </c>
      <c r="B30" s="8">
        <v>12293.19</v>
      </c>
      <c r="C30" s="7">
        <v>25386221.010000002</v>
      </c>
      <c r="D30" s="8">
        <v>1</v>
      </c>
      <c r="F30" s="8">
        <f>IF($D49=0,A49,"")</f>
        <v>-35493.589999999997</v>
      </c>
      <c r="G30" s="8">
        <f>IF($D49=0,B49,"")</f>
        <v>31231.05</v>
      </c>
      <c r="H30" s="8">
        <f>IF($D49=0,C49,"")</f>
        <v>181018353.25</v>
      </c>
      <c r="I30" s="8">
        <f t="shared" si="11"/>
        <v>22025.62</v>
      </c>
      <c r="J30" s="8">
        <f t="shared" si="12"/>
        <v>-7068.63</v>
      </c>
      <c r="K30" s="8">
        <f t="shared" si="13"/>
        <v>274756997.57999998</v>
      </c>
    </row>
    <row r="31" spans="1:11" x14ac:dyDescent="0.3">
      <c r="A31" s="8">
        <v>5492.95</v>
      </c>
      <c r="B31" s="8">
        <v>2434.4</v>
      </c>
      <c r="C31" s="7">
        <v>30252399.550000001</v>
      </c>
      <c r="D31" s="8">
        <v>1</v>
      </c>
      <c r="F31" s="8">
        <f t="shared" ref="F31:F48" si="15">IF($D60=0,A60,"")</f>
        <v>22546.34</v>
      </c>
      <c r="G31" s="8">
        <f t="shared" ref="G31:G48" si="16">IF($D60=0,B60,"")</f>
        <v>-6301.32</v>
      </c>
      <c r="H31" s="8">
        <f t="shared" ref="H31:H48" si="17">IF($D60=0,C60,"")</f>
        <v>5379960.6699999999</v>
      </c>
      <c r="I31" s="8">
        <f t="shared" si="11"/>
        <v>-18308.3</v>
      </c>
      <c r="J31" s="8">
        <f t="shared" si="12"/>
        <v>14119.75</v>
      </c>
      <c r="K31" s="8">
        <f t="shared" si="13"/>
        <v>251445700.28999999</v>
      </c>
    </row>
    <row r="32" spans="1:11" x14ac:dyDescent="0.3">
      <c r="A32" s="8">
        <v>2490.19</v>
      </c>
      <c r="B32" s="8">
        <v>-10007.879999999999</v>
      </c>
      <c r="C32" s="7">
        <v>38103634.630000003</v>
      </c>
      <c r="D32" s="8">
        <v>1</v>
      </c>
      <c r="F32" s="8">
        <f t="shared" si="15"/>
        <v>-14231.09</v>
      </c>
      <c r="G32" s="8">
        <f t="shared" si="16"/>
        <v>24159.13</v>
      </c>
      <c r="H32" s="8">
        <f t="shared" si="17"/>
        <v>5071989.45</v>
      </c>
      <c r="I32" s="8">
        <f t="shared" si="11"/>
        <v>-489.06</v>
      </c>
      <c r="J32" s="8">
        <f t="shared" si="12"/>
        <v>9276.9699999999993</v>
      </c>
      <c r="K32" s="8">
        <f t="shared" si="13"/>
        <v>4486480.13</v>
      </c>
    </row>
    <row r="33" spans="1:11" x14ac:dyDescent="0.3">
      <c r="A33" s="8">
        <v>15749.86</v>
      </c>
      <c r="B33" s="8">
        <v>-11046.78</v>
      </c>
      <c r="C33" s="7">
        <v>38639563.450000003</v>
      </c>
      <c r="D33" s="8">
        <v>1</v>
      </c>
      <c r="F33" s="8">
        <f t="shared" si="15"/>
        <v>-41464.730000000003</v>
      </c>
      <c r="G33" s="8">
        <f t="shared" si="16"/>
        <v>33411.85</v>
      </c>
      <c r="H33" s="8">
        <f t="shared" si="17"/>
        <v>2213003.34</v>
      </c>
      <c r="I33" s="8">
        <f>IF($D78=1,A78,"")</f>
        <v>-42214.28</v>
      </c>
      <c r="J33" s="8">
        <f>IF($D78=1,B78,"")</f>
        <v>55733.04</v>
      </c>
      <c r="K33" s="8">
        <f>IF($D78=1,C78,"")</f>
        <v>23363722.800000001</v>
      </c>
    </row>
    <row r="34" spans="1:11" x14ac:dyDescent="0.3">
      <c r="A34" s="8">
        <v>-11410.69</v>
      </c>
      <c r="B34" s="8">
        <v>110.3</v>
      </c>
      <c r="C34" s="7">
        <v>51492601.049999997</v>
      </c>
      <c r="D34" s="8">
        <v>1</v>
      </c>
      <c r="F34" s="8">
        <f t="shared" si="15"/>
        <v>-11090.64</v>
      </c>
      <c r="G34" s="8">
        <f t="shared" si="16"/>
        <v>19239.28</v>
      </c>
      <c r="H34" s="8">
        <f t="shared" si="17"/>
        <v>2772619.51</v>
      </c>
    </row>
    <row r="35" spans="1:11" x14ac:dyDescent="0.3">
      <c r="A35" s="8">
        <v>14537.4</v>
      </c>
      <c r="B35" s="8">
        <v>-17318.439999999999</v>
      </c>
      <c r="C35" s="7">
        <v>60358608.049999997</v>
      </c>
      <c r="D35" s="8">
        <v>1</v>
      </c>
      <c r="F35" s="8">
        <f t="shared" si="15"/>
        <v>1997.7</v>
      </c>
      <c r="G35" s="8">
        <f t="shared" si="16"/>
        <v>30548.77</v>
      </c>
      <c r="H35" s="8">
        <f t="shared" si="17"/>
        <v>2525378.0499999998</v>
      </c>
    </row>
    <row r="36" spans="1:11" x14ac:dyDescent="0.3">
      <c r="A36" s="8">
        <v>65317.13</v>
      </c>
      <c r="B36" s="8">
        <v>-48319.17</v>
      </c>
      <c r="C36" s="7">
        <v>58450590.560000002</v>
      </c>
      <c r="D36" s="8">
        <v>1</v>
      </c>
      <c r="F36" s="8">
        <f t="shared" si="15"/>
        <v>5711.8</v>
      </c>
      <c r="G36" s="8">
        <f t="shared" si="16"/>
        <v>2216.5700000000002</v>
      </c>
      <c r="H36" s="8">
        <f t="shared" si="17"/>
        <v>1894750.71</v>
      </c>
    </row>
    <row r="37" spans="1:11" x14ac:dyDescent="0.3">
      <c r="A37" s="8">
        <v>48223.94</v>
      </c>
      <c r="B37" s="8">
        <v>-37293.53</v>
      </c>
      <c r="C37" s="7">
        <v>68715461.040000007</v>
      </c>
      <c r="D37" s="8">
        <v>1</v>
      </c>
      <c r="F37" s="8">
        <f t="shared" si="15"/>
        <v>27856.48</v>
      </c>
      <c r="G37" s="8">
        <f t="shared" si="16"/>
        <v>-3306.35</v>
      </c>
      <c r="H37" s="8">
        <f t="shared" si="17"/>
        <v>2806373.28</v>
      </c>
    </row>
    <row r="38" spans="1:11" x14ac:dyDescent="0.3">
      <c r="A38" s="8">
        <v>8980.81</v>
      </c>
      <c r="B38" s="8">
        <v>-11970.54</v>
      </c>
      <c r="C38" s="7">
        <v>78425626.959999993</v>
      </c>
      <c r="D38" s="8">
        <v>1</v>
      </c>
      <c r="F38" s="8">
        <f t="shared" si="15"/>
        <v>27250.01</v>
      </c>
      <c r="G38" s="8">
        <f t="shared" si="16"/>
        <v>4458.2299999999996</v>
      </c>
      <c r="H38" s="8">
        <f t="shared" si="17"/>
        <v>18041131.579999998</v>
      </c>
    </row>
    <row r="39" spans="1:11" x14ac:dyDescent="0.3">
      <c r="A39" s="8">
        <v>42044.46</v>
      </c>
      <c r="B39" s="8">
        <v>-16358.1</v>
      </c>
      <c r="C39" s="7">
        <v>93663167.159999996</v>
      </c>
      <c r="D39" s="8">
        <v>1</v>
      </c>
      <c r="F39" s="8">
        <f t="shared" si="15"/>
        <v>13922.01</v>
      </c>
      <c r="G39" s="8">
        <f t="shared" si="16"/>
        <v>-1184.33</v>
      </c>
      <c r="H39" s="8">
        <f t="shared" si="17"/>
        <v>33809147.869999997</v>
      </c>
      <c r="I39" t="str">
        <f t="shared" ref="I39:I56" si="18">IF($D60=1,A60,"")</f>
        <v/>
      </c>
      <c r="J39" t="str">
        <f t="shared" ref="J39:J56" si="19">IF($D60=1,B60,"")</f>
        <v/>
      </c>
      <c r="K39" t="str">
        <f t="shared" ref="K39:K56" si="20">IF($D60=1,C60,"")</f>
        <v/>
      </c>
    </row>
    <row r="40" spans="1:11" x14ac:dyDescent="0.3">
      <c r="A40" s="8">
        <v>1245.22</v>
      </c>
      <c r="B40" s="8">
        <v>5204.42</v>
      </c>
      <c r="C40" s="7">
        <v>97975987.430000007</v>
      </c>
      <c r="D40" s="8">
        <v>1</v>
      </c>
      <c r="F40" s="8">
        <f t="shared" si="15"/>
        <v>-20620.650000000001</v>
      </c>
      <c r="G40" s="8">
        <f t="shared" si="16"/>
        <v>25016.95</v>
      </c>
      <c r="H40" s="8">
        <f t="shared" si="17"/>
        <v>33222913.82</v>
      </c>
      <c r="I40" t="str">
        <f t="shared" si="18"/>
        <v/>
      </c>
      <c r="J40" t="str">
        <f t="shared" si="19"/>
        <v/>
      </c>
      <c r="K40" t="str">
        <f t="shared" si="20"/>
        <v/>
      </c>
    </row>
    <row r="41" spans="1:11" x14ac:dyDescent="0.3">
      <c r="A41" s="8">
        <v>-12039.43</v>
      </c>
      <c r="B41" s="8">
        <v>11359.88</v>
      </c>
      <c r="C41" s="7">
        <v>93312391.849999994</v>
      </c>
      <c r="D41" s="8">
        <v>1</v>
      </c>
      <c r="F41" s="8">
        <f t="shared" si="15"/>
        <v>-26692.16</v>
      </c>
      <c r="G41" s="8">
        <f t="shared" si="16"/>
        <v>20312.650000000001</v>
      </c>
      <c r="H41" s="8">
        <f t="shared" si="17"/>
        <v>55738808.399999999</v>
      </c>
      <c r="I41" t="str">
        <f t="shared" si="18"/>
        <v/>
      </c>
      <c r="J41" t="str">
        <f t="shared" si="19"/>
        <v/>
      </c>
      <c r="K41" t="str">
        <f t="shared" si="20"/>
        <v/>
      </c>
    </row>
    <row r="42" spans="1:11" x14ac:dyDescent="0.3">
      <c r="A42" s="8">
        <v>-6015.34</v>
      </c>
      <c r="B42" s="8">
        <v>2067.23</v>
      </c>
      <c r="C42" s="7">
        <v>94927122.959999993</v>
      </c>
      <c r="D42" s="8">
        <v>0</v>
      </c>
      <c r="F42" s="8">
        <f t="shared" si="15"/>
        <v>-29056.61</v>
      </c>
      <c r="G42" s="8">
        <f t="shared" si="16"/>
        <v>25105.86</v>
      </c>
      <c r="H42" s="8">
        <f t="shared" si="17"/>
        <v>68991523.209999993</v>
      </c>
      <c r="I42" t="str">
        <f t="shared" si="18"/>
        <v/>
      </c>
      <c r="J42" t="str">
        <f t="shared" si="19"/>
        <v/>
      </c>
      <c r="K42" t="str">
        <f t="shared" si="20"/>
        <v/>
      </c>
    </row>
    <row r="43" spans="1:11" x14ac:dyDescent="0.3">
      <c r="A43" s="8">
        <v>-25.89</v>
      </c>
      <c r="B43" s="8">
        <v>7043.51</v>
      </c>
      <c r="C43" s="7">
        <v>96692147.459999993</v>
      </c>
      <c r="D43" s="8">
        <v>0</v>
      </c>
      <c r="F43" s="8">
        <f t="shared" si="15"/>
        <v>3901.82</v>
      </c>
      <c r="G43" s="8">
        <f t="shared" si="16"/>
        <v>12720.36</v>
      </c>
      <c r="H43" s="8">
        <f t="shared" si="17"/>
        <v>82489771.099999994</v>
      </c>
      <c r="I43" t="str">
        <f t="shared" si="18"/>
        <v/>
      </c>
      <c r="J43" t="str">
        <f t="shared" si="19"/>
        <v/>
      </c>
      <c r="K43" t="str">
        <f t="shared" si="20"/>
        <v/>
      </c>
    </row>
    <row r="44" spans="1:11" x14ac:dyDescent="0.3">
      <c r="A44" s="8">
        <v>-23193.39</v>
      </c>
      <c r="B44" s="8">
        <v>18393.919999999998</v>
      </c>
      <c r="C44" s="7">
        <v>115889993.06</v>
      </c>
      <c r="D44" s="8">
        <v>0</v>
      </c>
      <c r="F44" s="8">
        <f t="shared" si="15"/>
        <v>31959.78</v>
      </c>
      <c r="G44" s="8">
        <f t="shared" si="16"/>
        <v>12942.25</v>
      </c>
      <c r="H44" s="8">
        <f t="shared" si="17"/>
        <v>149197173.91999999</v>
      </c>
      <c r="I44" t="str">
        <f t="shared" si="18"/>
        <v/>
      </c>
      <c r="J44" t="str">
        <f t="shared" si="19"/>
        <v/>
      </c>
      <c r="K44" t="str">
        <f t="shared" si="20"/>
        <v/>
      </c>
    </row>
    <row r="45" spans="1:11" x14ac:dyDescent="0.3">
      <c r="A45" s="8">
        <v>-2568.52</v>
      </c>
      <c r="B45" s="8">
        <v>6894.69</v>
      </c>
      <c r="C45" s="7">
        <v>110250209.65000001</v>
      </c>
      <c r="D45" s="8">
        <v>0</v>
      </c>
      <c r="F45" s="8">
        <f t="shared" si="15"/>
        <v>-35977.870000000003</v>
      </c>
      <c r="G45" s="8">
        <f t="shared" si="16"/>
        <v>26743.63</v>
      </c>
      <c r="H45" s="8">
        <f t="shared" si="17"/>
        <v>89100210.560000002</v>
      </c>
      <c r="I45" t="str">
        <f t="shared" si="18"/>
        <v/>
      </c>
      <c r="J45" t="str">
        <f t="shared" si="19"/>
        <v/>
      </c>
      <c r="K45" t="str">
        <f t="shared" si="20"/>
        <v/>
      </c>
    </row>
    <row r="46" spans="1:11" x14ac:dyDescent="0.3">
      <c r="A46" s="8">
        <v>913.77</v>
      </c>
      <c r="B46" s="8">
        <v>5948.85</v>
      </c>
      <c r="C46" s="7">
        <v>149224890.37</v>
      </c>
      <c r="D46" s="8">
        <v>1</v>
      </c>
      <c r="F46" s="8">
        <f t="shared" si="15"/>
        <v>-15962.72</v>
      </c>
      <c r="G46" s="8">
        <f t="shared" si="16"/>
        <v>25379.3</v>
      </c>
      <c r="H46" s="8">
        <f t="shared" si="17"/>
        <v>4622422.66</v>
      </c>
      <c r="I46" t="str">
        <f t="shared" si="18"/>
        <v/>
      </c>
      <c r="J46" t="str">
        <f t="shared" si="19"/>
        <v/>
      </c>
      <c r="K46" t="str">
        <f t="shared" si="20"/>
        <v/>
      </c>
    </row>
    <row r="47" spans="1:11" x14ac:dyDescent="0.3">
      <c r="A47" s="8">
        <v>-25572.19</v>
      </c>
      <c r="B47" s="8">
        <v>4470.99</v>
      </c>
      <c r="C47" s="7">
        <v>141511127.25999999</v>
      </c>
      <c r="D47" s="8">
        <v>0</v>
      </c>
      <c r="F47" s="8">
        <f t="shared" si="15"/>
        <v>3314.47</v>
      </c>
      <c r="G47" s="8">
        <f t="shared" si="16"/>
        <v>56311.6</v>
      </c>
      <c r="H47" s="8">
        <f t="shared" si="17"/>
        <v>3455293.12</v>
      </c>
      <c r="I47" t="str">
        <f t="shared" si="18"/>
        <v/>
      </c>
      <c r="J47" t="str">
        <f t="shared" si="19"/>
        <v/>
      </c>
      <c r="K47" t="str">
        <f t="shared" si="20"/>
        <v/>
      </c>
    </row>
    <row r="48" spans="1:11" x14ac:dyDescent="0.3">
      <c r="A48" s="8">
        <v>-39901.919999999998</v>
      </c>
      <c r="B48" s="8">
        <v>30560.27</v>
      </c>
      <c r="C48" s="7">
        <v>152973110.56999999</v>
      </c>
      <c r="D48" s="8">
        <v>1</v>
      </c>
      <c r="F48" s="8">
        <f t="shared" si="15"/>
        <v>-35692.19</v>
      </c>
      <c r="G48" s="8">
        <f t="shared" si="16"/>
        <v>44186.28</v>
      </c>
      <c r="H48" s="8">
        <f t="shared" si="17"/>
        <v>27572193.82</v>
      </c>
      <c r="I48" t="str">
        <f t="shared" si="18"/>
        <v/>
      </c>
      <c r="J48" t="str">
        <f t="shared" si="19"/>
        <v/>
      </c>
      <c r="K48" t="str">
        <f t="shared" si="20"/>
        <v/>
      </c>
    </row>
    <row r="49" spans="1:11" x14ac:dyDescent="0.3">
      <c r="A49" s="8">
        <v>-35493.589999999997</v>
      </c>
      <c r="B49" s="8">
        <v>31231.05</v>
      </c>
      <c r="C49" s="7">
        <v>181018353.25</v>
      </c>
      <c r="D49" s="8">
        <v>0</v>
      </c>
      <c r="F49" s="8">
        <f t="shared" ref="F49:H55" si="21">IF($D79=0,A79,"")</f>
        <v>2037.47</v>
      </c>
      <c r="G49" s="8">
        <f t="shared" si="21"/>
        <v>28633.15</v>
      </c>
      <c r="H49" s="8">
        <f t="shared" si="21"/>
        <v>5176311.97</v>
      </c>
      <c r="I49" t="str">
        <f t="shared" si="18"/>
        <v/>
      </c>
      <c r="J49" t="str">
        <f t="shared" si="19"/>
        <v/>
      </c>
      <c r="K49" t="str">
        <f t="shared" si="20"/>
        <v/>
      </c>
    </row>
    <row r="50" spans="1:11" x14ac:dyDescent="0.3">
      <c r="A50" s="8">
        <v>-41346.35</v>
      </c>
      <c r="B50" s="8">
        <v>21928.400000000001</v>
      </c>
      <c r="C50" s="7">
        <v>175254530.56999999</v>
      </c>
      <c r="D50" s="8">
        <v>1</v>
      </c>
      <c r="F50" s="8">
        <f t="shared" si="21"/>
        <v>5407.83</v>
      </c>
      <c r="G50" s="8">
        <f t="shared" si="21"/>
        <v>23486.02</v>
      </c>
      <c r="H50" s="8">
        <f t="shared" si="21"/>
        <v>4991692.1500000004</v>
      </c>
      <c r="I50" t="str">
        <f t="shared" si="18"/>
        <v/>
      </c>
      <c r="J50" t="str">
        <f t="shared" si="19"/>
        <v/>
      </c>
      <c r="K50" t="str">
        <f t="shared" si="20"/>
        <v/>
      </c>
    </row>
    <row r="51" spans="1:11" x14ac:dyDescent="0.3">
      <c r="A51" s="8">
        <v>-45720.07</v>
      </c>
      <c r="B51" s="8">
        <v>42084.07</v>
      </c>
      <c r="C51" s="7">
        <v>200557773.19</v>
      </c>
      <c r="D51" s="8">
        <v>1</v>
      </c>
      <c r="F51" s="8">
        <f t="shared" si="21"/>
        <v>-20339.259999999998</v>
      </c>
      <c r="G51" s="8">
        <f t="shared" si="21"/>
        <v>50174.86</v>
      </c>
      <c r="H51" s="8">
        <f t="shared" si="21"/>
        <v>21888498.129999999</v>
      </c>
      <c r="I51" t="str">
        <f t="shared" si="18"/>
        <v/>
      </c>
      <c r="J51" t="str">
        <f t="shared" si="19"/>
        <v/>
      </c>
      <c r="K51" t="str">
        <f t="shared" si="20"/>
        <v/>
      </c>
    </row>
    <row r="52" spans="1:11" x14ac:dyDescent="0.3">
      <c r="A52" s="8">
        <v>-43281.31</v>
      </c>
      <c r="B52" s="8">
        <v>39677.03</v>
      </c>
      <c r="C52" s="7">
        <v>187008999.80000001</v>
      </c>
      <c r="D52" s="8">
        <v>1</v>
      </c>
      <c r="F52" s="8">
        <f t="shared" si="21"/>
        <v>12611.79</v>
      </c>
      <c r="G52" s="8">
        <f t="shared" si="21"/>
        <v>30857.3</v>
      </c>
      <c r="H52" s="8">
        <f t="shared" si="21"/>
        <v>8384974.8499999996</v>
      </c>
      <c r="I52" t="str">
        <f t="shared" si="18"/>
        <v/>
      </c>
      <c r="J52" t="str">
        <f t="shared" si="19"/>
        <v/>
      </c>
      <c r="K52" t="str">
        <f t="shared" si="20"/>
        <v/>
      </c>
    </row>
    <row r="53" spans="1:11" x14ac:dyDescent="0.3">
      <c r="A53" s="8">
        <v>-40652.71</v>
      </c>
      <c r="B53" s="8">
        <v>29869.52</v>
      </c>
      <c r="C53" s="7">
        <v>192502411.69999999</v>
      </c>
      <c r="D53" s="8">
        <v>1</v>
      </c>
      <c r="F53" s="8">
        <f t="shared" si="21"/>
        <v>-114445.89</v>
      </c>
      <c r="G53" s="8">
        <f t="shared" si="21"/>
        <v>107254.68</v>
      </c>
      <c r="H53" s="8">
        <f t="shared" si="21"/>
        <v>8361146.3700000001</v>
      </c>
      <c r="I53" t="str">
        <f t="shared" si="18"/>
        <v/>
      </c>
      <c r="J53" t="str">
        <f t="shared" si="19"/>
        <v/>
      </c>
      <c r="K53" t="str">
        <f t="shared" si="20"/>
        <v/>
      </c>
    </row>
    <row r="54" spans="1:11" x14ac:dyDescent="0.3">
      <c r="A54" s="8">
        <v>-54292.47</v>
      </c>
      <c r="B54" s="8">
        <v>50835.54</v>
      </c>
      <c r="C54" s="7">
        <v>212279576.15000001</v>
      </c>
      <c r="D54" s="8">
        <v>1</v>
      </c>
      <c r="F54" s="8">
        <f t="shared" si="21"/>
        <v>-45974.12</v>
      </c>
      <c r="G54" s="8">
        <f t="shared" si="21"/>
        <v>44483.86</v>
      </c>
      <c r="H54" s="8">
        <f t="shared" si="21"/>
        <v>6605889.7000000002</v>
      </c>
      <c r="I54" t="str">
        <f t="shared" si="18"/>
        <v/>
      </c>
      <c r="J54" t="str">
        <f t="shared" si="19"/>
        <v/>
      </c>
      <c r="K54" t="str">
        <f t="shared" si="20"/>
        <v/>
      </c>
    </row>
    <row r="55" spans="1:11" x14ac:dyDescent="0.3">
      <c r="A55" s="8">
        <v>-58112.37</v>
      </c>
      <c r="B55" s="8">
        <v>46599.23</v>
      </c>
      <c r="C55" s="7">
        <v>219486616.02000001</v>
      </c>
      <c r="D55" s="8">
        <v>1</v>
      </c>
      <c r="F55" s="8">
        <f t="shared" si="21"/>
        <v>-16982.48</v>
      </c>
      <c r="G55" s="8">
        <f t="shared" si="21"/>
        <v>34194.730000000003</v>
      </c>
      <c r="H55" s="8">
        <f t="shared" si="21"/>
        <v>6918280.5099999998</v>
      </c>
      <c r="I55" t="str">
        <f t="shared" si="18"/>
        <v/>
      </c>
      <c r="J55" t="str">
        <f t="shared" si="19"/>
        <v/>
      </c>
      <c r="K55" t="str">
        <f t="shared" si="20"/>
        <v/>
      </c>
    </row>
    <row r="56" spans="1:11" x14ac:dyDescent="0.3">
      <c r="A56" s="8">
        <v>-6567.71</v>
      </c>
      <c r="B56" s="8">
        <v>10546.02</v>
      </c>
      <c r="C56" s="7">
        <v>235717204.52000001</v>
      </c>
      <c r="D56" s="8">
        <v>1</v>
      </c>
      <c r="I56" t="str">
        <f t="shared" si="18"/>
        <v/>
      </c>
      <c r="J56" t="str">
        <f t="shared" si="19"/>
        <v/>
      </c>
      <c r="K56" t="str">
        <f t="shared" si="20"/>
        <v/>
      </c>
    </row>
    <row r="57" spans="1:11" x14ac:dyDescent="0.3">
      <c r="A57" s="8">
        <v>22025.62</v>
      </c>
      <c r="B57" s="8">
        <v>-7068.63</v>
      </c>
      <c r="C57" s="7">
        <v>274756997.57999998</v>
      </c>
      <c r="D57" s="8">
        <v>1</v>
      </c>
      <c r="F57" t="str">
        <f t="shared" si="2"/>
        <v/>
      </c>
      <c r="G57" t="str">
        <f t="shared" ref="G57:G60" si="22">IF($D56=0,B56,"")</f>
        <v/>
      </c>
      <c r="H57" t="str">
        <f t="shared" ref="H57:H60" si="23">IF($D56=0,C56,"")</f>
        <v/>
      </c>
    </row>
    <row r="58" spans="1:11" x14ac:dyDescent="0.3">
      <c r="A58" s="8">
        <v>-18308.3</v>
      </c>
      <c r="B58" s="8">
        <v>14119.75</v>
      </c>
      <c r="C58" s="7">
        <v>251445700.28999999</v>
      </c>
      <c r="D58" s="8">
        <v>1</v>
      </c>
      <c r="F58" t="str">
        <f t="shared" si="2"/>
        <v/>
      </c>
      <c r="G58" t="str">
        <f t="shared" si="22"/>
        <v/>
      </c>
      <c r="H58" t="str">
        <f t="shared" si="23"/>
        <v/>
      </c>
      <c r="I58" t="str">
        <f>IF($D79=1,A79,"")</f>
        <v/>
      </c>
      <c r="J58" t="str">
        <f>IF($D79=1,B79,"")</f>
        <v/>
      </c>
      <c r="K58" t="str">
        <f>IF($D79=1,C79,"")</f>
        <v/>
      </c>
    </row>
    <row r="59" spans="1:11" x14ac:dyDescent="0.3">
      <c r="A59" s="8">
        <v>-489.06</v>
      </c>
      <c r="B59" s="8">
        <v>9276.9699999999993</v>
      </c>
      <c r="C59" s="7">
        <v>4486480.13</v>
      </c>
      <c r="D59" s="8">
        <v>1</v>
      </c>
      <c r="F59" t="str">
        <f t="shared" si="2"/>
        <v/>
      </c>
      <c r="G59" t="str">
        <f t="shared" si="22"/>
        <v/>
      </c>
      <c r="H59" t="str">
        <f t="shared" si="23"/>
        <v/>
      </c>
    </row>
    <row r="60" spans="1:11" x14ac:dyDescent="0.3">
      <c r="A60" s="8">
        <v>22546.34</v>
      </c>
      <c r="B60" s="8">
        <v>-6301.32</v>
      </c>
      <c r="C60" s="7">
        <v>5379960.6699999999</v>
      </c>
      <c r="D60" s="8">
        <v>0</v>
      </c>
      <c r="F60" t="str">
        <f t="shared" si="2"/>
        <v/>
      </c>
      <c r="G60" t="str">
        <f t="shared" si="22"/>
        <v/>
      </c>
      <c r="H60" t="str">
        <f t="shared" si="23"/>
        <v/>
      </c>
    </row>
    <row r="61" spans="1:11" x14ac:dyDescent="0.3">
      <c r="A61" s="8">
        <v>-14231.09</v>
      </c>
      <c r="B61" s="8">
        <v>24159.13</v>
      </c>
      <c r="C61" s="7">
        <v>5071989.45</v>
      </c>
      <c r="D61" s="8">
        <v>0</v>
      </c>
    </row>
    <row r="62" spans="1:11" x14ac:dyDescent="0.3">
      <c r="A62" s="8">
        <v>-41464.730000000003</v>
      </c>
      <c r="B62" s="8">
        <v>33411.85</v>
      </c>
      <c r="C62" s="7">
        <v>2213003.34</v>
      </c>
      <c r="D62" s="8">
        <v>0</v>
      </c>
    </row>
    <row r="63" spans="1:11" x14ac:dyDescent="0.3">
      <c r="A63" s="8">
        <v>-11090.64</v>
      </c>
      <c r="B63" s="8">
        <v>19239.28</v>
      </c>
      <c r="C63" s="7">
        <v>2772619.51</v>
      </c>
      <c r="D63" s="8">
        <v>0</v>
      </c>
    </row>
    <row r="64" spans="1:11" x14ac:dyDescent="0.3">
      <c r="A64" s="8">
        <v>1997.7</v>
      </c>
      <c r="B64" s="8">
        <v>30548.77</v>
      </c>
      <c r="C64" s="7">
        <v>2525378.0499999998</v>
      </c>
      <c r="D64" s="8">
        <v>0</v>
      </c>
    </row>
    <row r="65" spans="1:4" x14ac:dyDescent="0.3">
      <c r="A65" s="8">
        <v>5711.8</v>
      </c>
      <c r="B65" s="8">
        <v>2216.5700000000002</v>
      </c>
      <c r="C65" s="7">
        <v>1894750.71</v>
      </c>
      <c r="D65" s="8">
        <v>0</v>
      </c>
    </row>
    <row r="66" spans="1:4" x14ac:dyDescent="0.3">
      <c r="A66" s="8">
        <v>27856.48</v>
      </c>
      <c r="B66" s="8">
        <v>-3306.35</v>
      </c>
      <c r="C66" s="7">
        <v>2806373.28</v>
      </c>
      <c r="D66" s="8">
        <v>0</v>
      </c>
    </row>
    <row r="67" spans="1:4" x14ac:dyDescent="0.3">
      <c r="A67" s="8">
        <v>27250.01</v>
      </c>
      <c r="B67" s="8">
        <v>4458.2299999999996</v>
      </c>
      <c r="C67" s="7">
        <v>18041131.579999998</v>
      </c>
      <c r="D67" s="8">
        <v>0</v>
      </c>
    </row>
    <row r="68" spans="1:4" x14ac:dyDescent="0.3">
      <c r="A68" s="8">
        <v>13922.01</v>
      </c>
      <c r="B68" s="8">
        <v>-1184.33</v>
      </c>
      <c r="C68" s="7">
        <v>33809147.869999997</v>
      </c>
      <c r="D68" s="8">
        <v>0</v>
      </c>
    </row>
    <row r="69" spans="1:4" x14ac:dyDescent="0.3">
      <c r="A69" s="8">
        <v>-20620.650000000001</v>
      </c>
      <c r="B69" s="8">
        <v>25016.95</v>
      </c>
      <c r="C69" s="7">
        <v>33222913.82</v>
      </c>
      <c r="D69" s="8">
        <v>0</v>
      </c>
    </row>
    <row r="70" spans="1:4" x14ac:dyDescent="0.3">
      <c r="A70" s="8">
        <v>-26692.16</v>
      </c>
      <c r="B70" s="8">
        <v>20312.650000000001</v>
      </c>
      <c r="C70" s="7">
        <v>55738808.399999999</v>
      </c>
      <c r="D70" s="8">
        <v>0</v>
      </c>
    </row>
    <row r="71" spans="1:4" x14ac:dyDescent="0.3">
      <c r="A71" s="8">
        <v>-29056.61</v>
      </c>
      <c r="B71" s="8">
        <v>25105.86</v>
      </c>
      <c r="C71" s="7">
        <v>68991523.209999993</v>
      </c>
      <c r="D71" s="8">
        <v>0</v>
      </c>
    </row>
    <row r="72" spans="1:4" x14ac:dyDescent="0.3">
      <c r="A72" s="8">
        <v>3901.82</v>
      </c>
      <c r="B72" s="8">
        <v>12720.36</v>
      </c>
      <c r="C72" s="7">
        <v>82489771.099999994</v>
      </c>
      <c r="D72" s="8">
        <v>0</v>
      </c>
    </row>
    <row r="73" spans="1:4" x14ac:dyDescent="0.3">
      <c r="A73" s="8">
        <v>31959.78</v>
      </c>
      <c r="B73" s="8">
        <v>12942.25</v>
      </c>
      <c r="C73" s="7">
        <v>149197173.91999999</v>
      </c>
      <c r="D73" s="8">
        <v>0</v>
      </c>
    </row>
    <row r="74" spans="1:4" x14ac:dyDescent="0.3">
      <c r="A74" s="8">
        <v>-35977.870000000003</v>
      </c>
      <c r="B74" s="8">
        <v>26743.63</v>
      </c>
      <c r="C74" s="7">
        <v>89100210.560000002</v>
      </c>
      <c r="D74" s="8">
        <v>0</v>
      </c>
    </row>
    <row r="75" spans="1:4" x14ac:dyDescent="0.3">
      <c r="A75" s="8">
        <v>-15962.72</v>
      </c>
      <c r="B75" s="8">
        <v>25379.3</v>
      </c>
      <c r="C75" s="7">
        <v>4622422.66</v>
      </c>
      <c r="D75" s="8">
        <v>0</v>
      </c>
    </row>
    <row r="76" spans="1:4" x14ac:dyDescent="0.3">
      <c r="A76" s="8">
        <v>3314.47</v>
      </c>
      <c r="B76" s="8">
        <v>56311.6</v>
      </c>
      <c r="C76" s="7">
        <v>3455293.12</v>
      </c>
      <c r="D76" s="8">
        <v>0</v>
      </c>
    </row>
    <row r="77" spans="1:4" x14ac:dyDescent="0.3">
      <c r="A77" s="8">
        <v>-35692.19</v>
      </c>
      <c r="B77" s="8">
        <v>44186.28</v>
      </c>
      <c r="C77" s="7">
        <v>27572193.82</v>
      </c>
      <c r="D77" s="8">
        <v>0</v>
      </c>
    </row>
    <row r="78" spans="1:4" x14ac:dyDescent="0.3">
      <c r="A78" s="8">
        <v>-42214.28</v>
      </c>
      <c r="B78" s="8">
        <v>55733.04</v>
      </c>
      <c r="C78" s="7">
        <v>23363722.800000001</v>
      </c>
      <c r="D78" s="8">
        <v>1</v>
      </c>
    </row>
    <row r="79" spans="1:4" x14ac:dyDescent="0.3">
      <c r="A79" s="8">
        <v>2037.47</v>
      </c>
      <c r="B79" s="8">
        <v>28633.15</v>
      </c>
      <c r="C79" s="7">
        <v>5176311.97</v>
      </c>
      <c r="D79" s="8">
        <v>0</v>
      </c>
    </row>
    <row r="80" spans="1:4" x14ac:dyDescent="0.3">
      <c r="A80" s="8">
        <v>5407.83</v>
      </c>
      <c r="B80" s="8">
        <v>23486.02</v>
      </c>
      <c r="C80" s="7">
        <v>4991692.1500000004</v>
      </c>
      <c r="D80" s="8">
        <v>0</v>
      </c>
    </row>
    <row r="81" spans="1:13" x14ac:dyDescent="0.3">
      <c r="A81" s="8">
        <v>-20339.259999999998</v>
      </c>
      <c r="B81" s="8">
        <v>50174.86</v>
      </c>
      <c r="C81" s="7">
        <v>21888498.129999999</v>
      </c>
      <c r="D81" s="8">
        <v>0</v>
      </c>
      <c r="I81" t="str">
        <f t="shared" ref="I81:I86" si="24">IF($D80=1,A80,"")</f>
        <v/>
      </c>
      <c r="J81" t="str">
        <f t="shared" ref="J81:J82" si="25">IF($D80=1,B80,"")</f>
        <v/>
      </c>
      <c r="K81" t="str">
        <f t="shared" ref="K81:K82" si="26">IF($D80=1,C80,"")</f>
        <v/>
      </c>
    </row>
    <row r="82" spans="1:13" x14ac:dyDescent="0.3">
      <c r="A82" s="8">
        <v>12611.79</v>
      </c>
      <c r="B82" s="8">
        <v>30857.3</v>
      </c>
      <c r="C82" s="7">
        <v>8384974.8499999996</v>
      </c>
      <c r="D82" s="8">
        <v>0</v>
      </c>
      <c r="I82" t="str">
        <f t="shared" si="24"/>
        <v/>
      </c>
      <c r="J82" t="str">
        <f t="shared" si="25"/>
        <v/>
      </c>
      <c r="K82" t="str">
        <f t="shared" si="26"/>
        <v/>
      </c>
    </row>
    <row r="83" spans="1:13" x14ac:dyDescent="0.3">
      <c r="A83" s="8">
        <v>-114445.89</v>
      </c>
      <c r="B83" s="8">
        <v>107254.68</v>
      </c>
      <c r="C83" s="7">
        <v>8361146.3700000001</v>
      </c>
      <c r="D83" s="8">
        <v>0</v>
      </c>
      <c r="I83" t="str">
        <f t="shared" si="24"/>
        <v/>
      </c>
      <c r="J83" t="str">
        <f t="shared" ref="J83:J86" si="27">IF($D82=1,B82,"")</f>
        <v/>
      </c>
      <c r="K83" t="str">
        <f t="shared" ref="K83:K86" si="28">IF($D82=1,C82,"")</f>
        <v/>
      </c>
    </row>
    <row r="84" spans="1:13" x14ac:dyDescent="0.3">
      <c r="A84" s="8">
        <v>-45974.12</v>
      </c>
      <c r="B84" s="8">
        <v>44483.86</v>
      </c>
      <c r="C84" s="7">
        <v>6605889.7000000002</v>
      </c>
      <c r="D84" s="8">
        <v>0</v>
      </c>
      <c r="I84" t="str">
        <f t="shared" si="24"/>
        <v/>
      </c>
      <c r="J84" t="str">
        <f t="shared" si="27"/>
        <v/>
      </c>
      <c r="K84" t="str">
        <f t="shared" si="28"/>
        <v/>
      </c>
    </row>
    <row r="85" spans="1:13" x14ac:dyDescent="0.3">
      <c r="A85" s="8">
        <v>-16982.48</v>
      </c>
      <c r="B85" s="8">
        <v>34194.730000000003</v>
      </c>
      <c r="C85" s="7">
        <v>6918280.5099999998</v>
      </c>
      <c r="D85" s="8">
        <v>0</v>
      </c>
      <c r="I85" t="str">
        <f t="shared" si="24"/>
        <v/>
      </c>
      <c r="J85" t="str">
        <f t="shared" si="27"/>
        <v/>
      </c>
      <c r="K85" t="str">
        <f t="shared" si="28"/>
        <v/>
      </c>
    </row>
    <row r="86" spans="1:13" x14ac:dyDescent="0.3">
      <c r="I86" t="str">
        <f t="shared" si="24"/>
        <v/>
      </c>
      <c r="J86" t="str">
        <f t="shared" si="27"/>
        <v/>
      </c>
      <c r="K86" t="str">
        <f t="shared" si="28"/>
        <v/>
      </c>
    </row>
    <row r="92" spans="1:13" x14ac:dyDescent="0.3">
      <c r="A92" t="s">
        <v>35</v>
      </c>
      <c r="F92" t="s">
        <v>35</v>
      </c>
      <c r="K92" t="s">
        <v>35</v>
      </c>
    </row>
    <row r="93" spans="1:13" ht="15" thickBot="1" x14ac:dyDescent="0.35"/>
    <row r="94" spans="1:13" x14ac:dyDescent="0.3">
      <c r="A94" s="11"/>
      <c r="B94" s="11" t="s">
        <v>17</v>
      </c>
      <c r="C94" s="11" t="s">
        <v>17</v>
      </c>
      <c r="F94" s="11"/>
      <c r="G94" s="11" t="s">
        <v>18</v>
      </c>
      <c r="H94" s="11" t="s">
        <v>18</v>
      </c>
      <c r="K94" s="11"/>
      <c r="L94" s="11" t="s">
        <v>7</v>
      </c>
      <c r="M94" s="11" t="s">
        <v>7</v>
      </c>
    </row>
    <row r="95" spans="1:13" x14ac:dyDescent="0.3">
      <c r="A95" t="s">
        <v>36</v>
      </c>
      <c r="B95">
        <v>-7814.2747169811319</v>
      </c>
      <c r="C95">
        <v>-7887.9558064516123</v>
      </c>
      <c r="F95" t="s">
        <v>36</v>
      </c>
      <c r="G95">
        <v>16706.94962264151</v>
      </c>
      <c r="H95">
        <v>10009.025483870968</v>
      </c>
      <c r="K95" t="s">
        <v>36</v>
      </c>
      <c r="L95">
        <v>36168901.264528297</v>
      </c>
      <c r="M95">
        <v>101549684.29838711</v>
      </c>
    </row>
    <row r="96" spans="1:13" x14ac:dyDescent="0.3">
      <c r="A96" t="s">
        <v>37</v>
      </c>
      <c r="B96">
        <v>560641192.9962523</v>
      </c>
      <c r="C96">
        <v>1010066440.9410186</v>
      </c>
      <c r="F96" t="s">
        <v>37</v>
      </c>
      <c r="G96">
        <v>397177278.80123454</v>
      </c>
      <c r="H96">
        <v>645379458.36035907</v>
      </c>
      <c r="K96" t="s">
        <v>37</v>
      </c>
      <c r="L96">
        <v>1726408067337362.8</v>
      </c>
      <c r="M96">
        <v>7075085661456420</v>
      </c>
    </row>
    <row r="97" spans="1:13" x14ac:dyDescent="0.3">
      <c r="A97" t="s">
        <v>38</v>
      </c>
      <c r="B97">
        <v>53</v>
      </c>
      <c r="C97">
        <v>31</v>
      </c>
      <c r="F97" t="s">
        <v>38</v>
      </c>
      <c r="G97">
        <v>53</v>
      </c>
      <c r="H97">
        <v>31</v>
      </c>
      <c r="K97" t="s">
        <v>38</v>
      </c>
      <c r="L97">
        <v>53</v>
      </c>
      <c r="M97">
        <v>31</v>
      </c>
    </row>
    <row r="98" spans="1:13" x14ac:dyDescent="0.3">
      <c r="A98" t="s">
        <v>39</v>
      </c>
      <c r="B98">
        <v>0</v>
      </c>
      <c r="F98" t="s">
        <v>39</v>
      </c>
      <c r="G98">
        <v>0</v>
      </c>
      <c r="K98" t="s">
        <v>39</v>
      </c>
      <c r="L98">
        <v>0</v>
      </c>
    </row>
    <row r="99" spans="1:13" x14ac:dyDescent="0.3">
      <c r="A99" t="s">
        <v>40</v>
      </c>
      <c r="B99">
        <v>50</v>
      </c>
      <c r="F99" t="s">
        <v>40</v>
      </c>
      <c r="G99">
        <v>52</v>
      </c>
      <c r="K99" t="s">
        <v>40</v>
      </c>
      <c r="L99">
        <v>39</v>
      </c>
    </row>
    <row r="100" spans="1:13" x14ac:dyDescent="0.3">
      <c r="A100" t="s">
        <v>41</v>
      </c>
      <c r="B100">
        <v>1.1215294222526475E-2</v>
      </c>
      <c r="F100" t="s">
        <v>41</v>
      </c>
      <c r="G100">
        <v>1.2587814193933511</v>
      </c>
      <c r="K100" t="s">
        <v>41</v>
      </c>
      <c r="L100">
        <v>-4.0485024214113094</v>
      </c>
    </row>
    <row r="101" spans="1:13" x14ac:dyDescent="0.3">
      <c r="A101" t="s">
        <v>42</v>
      </c>
      <c r="B101">
        <v>0.49554815409870473</v>
      </c>
      <c r="F101" t="s">
        <v>42</v>
      </c>
      <c r="G101">
        <v>0.10686564830459416</v>
      </c>
      <c r="K101" t="s">
        <v>42</v>
      </c>
      <c r="L101">
        <v>1.1841044639567729E-4</v>
      </c>
    </row>
    <row r="102" spans="1:13" x14ac:dyDescent="0.3">
      <c r="A102" t="s">
        <v>43</v>
      </c>
      <c r="B102">
        <v>1.6759050251630967</v>
      </c>
      <c r="F102" t="s">
        <v>43</v>
      </c>
      <c r="G102">
        <v>1.6746891537260258</v>
      </c>
      <c r="K102" t="s">
        <v>43</v>
      </c>
      <c r="L102">
        <v>1.6848751217112248</v>
      </c>
    </row>
    <row r="103" spans="1:13" x14ac:dyDescent="0.3">
      <c r="A103" t="s">
        <v>44</v>
      </c>
      <c r="B103">
        <v>0.99109630819740946</v>
      </c>
      <c r="F103" t="s">
        <v>44</v>
      </c>
      <c r="G103">
        <v>0.21373129660918833</v>
      </c>
      <c r="K103" t="s">
        <v>44</v>
      </c>
      <c r="L103">
        <v>2.3682089279135457E-4</v>
      </c>
    </row>
    <row r="104" spans="1:13" ht="15" thickBot="1" x14ac:dyDescent="0.35">
      <c r="A104" s="10" t="s">
        <v>45</v>
      </c>
      <c r="B104" s="10">
        <v>2.0085591121007611</v>
      </c>
      <c r="C104" s="10"/>
      <c r="F104" s="10" t="s">
        <v>45</v>
      </c>
      <c r="G104" s="10">
        <v>2.0066468050616861</v>
      </c>
      <c r="H104" s="10"/>
      <c r="K104" s="10" t="s">
        <v>45</v>
      </c>
      <c r="L104" s="10">
        <v>2.0226909200367595</v>
      </c>
      <c r="M104" s="10"/>
    </row>
  </sheetData>
  <mergeCells count="2">
    <mergeCell ref="F1:H1"/>
    <mergeCell ref="I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Trend Analysis</vt:lpstr>
      <vt:lpstr>Descritive Stats &amp; Comparitive </vt:lpstr>
      <vt:lpstr>Event Based Analysis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Arudra Pavani</dc:creator>
  <cp:lastModifiedBy>Arudra Pavani</cp:lastModifiedBy>
  <dcterms:created xsi:type="dcterms:W3CDTF">2026-01-08T08:37:07Z</dcterms:created>
  <dcterms:modified xsi:type="dcterms:W3CDTF">2026-01-09T08:15:58Z</dcterms:modified>
</cp:coreProperties>
</file>