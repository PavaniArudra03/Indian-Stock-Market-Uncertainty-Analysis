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ed9ed6819226a3/Desktop/MAJOR PROJECT/Analysis ^0 Conclusions/"/>
    </mc:Choice>
  </mc:AlternateContent>
  <xr:revisionPtr revIDLastSave="778" documentId="8_{FCE2B279-4AF8-4F9E-893E-F54A98E0F21F}" xr6:coauthVersionLast="47" xr6:coauthVersionMax="47" xr10:uidLastSave="{58516141-67CB-46CC-9603-61438827BCBC}"/>
  <bookViews>
    <workbookView minimized="1" xWindow="1848" yWindow="1848" windowWidth="17280" windowHeight="9960" firstSheet="7" activeTab="9" xr2:uid="{2A30F7C3-D381-4182-8F40-0AB1ED5D2D6E}"/>
  </bookViews>
  <sheets>
    <sheet name="Data" sheetId="1" r:id="rId1"/>
    <sheet name="Sectorial Returns " sheetId="2" r:id="rId2"/>
    <sheet name="Sheet1" sheetId="12" r:id="rId3"/>
    <sheet name="Volatility Analysis" sheetId="5" r:id="rId4"/>
    <sheet name="Sectorial Ranking (Sensitivity)" sheetId="6" r:id="rId5"/>
    <sheet name="Average Returns" sheetId="7" r:id="rId6"/>
    <sheet name="Uncertainity periods" sheetId="8" r:id="rId7"/>
    <sheet name="Comparative Analysis" sheetId="10" r:id="rId8"/>
    <sheet name="Correlation Analysis" sheetId="9" r:id="rId9"/>
    <sheet name="Graphical Analysis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8" l="1"/>
  <c r="J4" i="8"/>
  <c r="J84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2" i="8"/>
  <c r="I3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2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2" i="8"/>
  <c r="J35" i="8"/>
  <c r="J2" i="8" l="1"/>
  <c r="J3" i="8"/>
  <c r="J5" i="8"/>
  <c r="J6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5" i="8"/>
  <c r="C3" i="10"/>
  <c r="C4" i="10"/>
  <c r="C5" i="10"/>
  <c r="C6" i="10"/>
  <c r="C7" i="10"/>
  <c r="C2" i="10"/>
  <c r="K4" i="7"/>
  <c r="C8" i="6"/>
  <c r="C5" i="6"/>
  <c r="C6" i="6"/>
  <c r="C7" i="6"/>
  <c r="C3" i="6"/>
  <c r="C4" i="6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E3" i="2"/>
  <c r="R3" i="5"/>
  <c r="R8" i="5"/>
  <c r="R7" i="5"/>
  <c r="R6" i="5"/>
  <c r="R5" i="5"/>
  <c r="R4" i="5"/>
  <c r="M85" i="5"/>
  <c r="K85" i="5"/>
  <c r="I85" i="5"/>
  <c r="G85" i="5"/>
  <c r="E85" i="5"/>
  <c r="C85" i="5"/>
  <c r="M84" i="5"/>
  <c r="K84" i="5"/>
  <c r="I84" i="5"/>
  <c r="G84" i="5"/>
  <c r="E84" i="5"/>
  <c r="C84" i="5"/>
  <c r="M83" i="5"/>
  <c r="K83" i="5"/>
  <c r="I83" i="5"/>
  <c r="G83" i="5"/>
  <c r="E83" i="5"/>
  <c r="C83" i="5"/>
  <c r="M82" i="5"/>
  <c r="K82" i="5"/>
  <c r="I82" i="5"/>
  <c r="G82" i="5"/>
  <c r="E82" i="5"/>
  <c r="C82" i="5"/>
  <c r="M81" i="5"/>
  <c r="K81" i="5"/>
  <c r="I81" i="5"/>
  <c r="G81" i="5"/>
  <c r="E81" i="5"/>
  <c r="C81" i="5"/>
  <c r="M80" i="5"/>
  <c r="K80" i="5"/>
  <c r="I80" i="5"/>
  <c r="G80" i="5"/>
  <c r="E80" i="5"/>
  <c r="C80" i="5"/>
  <c r="M79" i="5"/>
  <c r="K79" i="5"/>
  <c r="I79" i="5"/>
  <c r="G79" i="5"/>
  <c r="E79" i="5"/>
  <c r="C79" i="5"/>
  <c r="M78" i="5"/>
  <c r="K78" i="5"/>
  <c r="I78" i="5"/>
  <c r="G78" i="5"/>
  <c r="E78" i="5"/>
  <c r="C78" i="5"/>
  <c r="M77" i="5"/>
  <c r="K77" i="5"/>
  <c r="I77" i="5"/>
  <c r="G77" i="5"/>
  <c r="E77" i="5"/>
  <c r="C77" i="5"/>
  <c r="M76" i="5"/>
  <c r="K76" i="5"/>
  <c r="I76" i="5"/>
  <c r="G76" i="5"/>
  <c r="E76" i="5"/>
  <c r="C76" i="5"/>
  <c r="M75" i="5"/>
  <c r="K75" i="5"/>
  <c r="I75" i="5"/>
  <c r="G75" i="5"/>
  <c r="E75" i="5"/>
  <c r="C75" i="5"/>
  <c r="M74" i="5"/>
  <c r="K74" i="5"/>
  <c r="I74" i="5"/>
  <c r="G74" i="5"/>
  <c r="E74" i="5"/>
  <c r="C74" i="5"/>
  <c r="M73" i="5"/>
  <c r="K73" i="5"/>
  <c r="I73" i="5"/>
  <c r="G73" i="5"/>
  <c r="E73" i="5"/>
  <c r="C73" i="5"/>
  <c r="M72" i="5"/>
  <c r="K72" i="5"/>
  <c r="I72" i="5"/>
  <c r="G72" i="5"/>
  <c r="E72" i="5"/>
  <c r="C72" i="5"/>
  <c r="M71" i="5"/>
  <c r="K71" i="5"/>
  <c r="I71" i="5"/>
  <c r="G71" i="5"/>
  <c r="E71" i="5"/>
  <c r="C71" i="5"/>
  <c r="M70" i="5"/>
  <c r="K70" i="5"/>
  <c r="I70" i="5"/>
  <c r="G70" i="5"/>
  <c r="E70" i="5"/>
  <c r="C70" i="5"/>
  <c r="M69" i="5"/>
  <c r="K69" i="5"/>
  <c r="I69" i="5"/>
  <c r="G69" i="5"/>
  <c r="E69" i="5"/>
  <c r="C69" i="5"/>
  <c r="M68" i="5"/>
  <c r="K68" i="5"/>
  <c r="I68" i="5"/>
  <c r="G68" i="5"/>
  <c r="E68" i="5"/>
  <c r="C68" i="5"/>
  <c r="M67" i="5"/>
  <c r="K67" i="5"/>
  <c r="I67" i="5"/>
  <c r="G67" i="5"/>
  <c r="E67" i="5"/>
  <c r="C67" i="5"/>
  <c r="M66" i="5"/>
  <c r="K66" i="5"/>
  <c r="I66" i="5"/>
  <c r="G66" i="5"/>
  <c r="E66" i="5"/>
  <c r="C66" i="5"/>
  <c r="M65" i="5"/>
  <c r="K65" i="5"/>
  <c r="I65" i="5"/>
  <c r="G65" i="5"/>
  <c r="E65" i="5"/>
  <c r="C65" i="5"/>
  <c r="M64" i="5"/>
  <c r="K64" i="5"/>
  <c r="I64" i="5"/>
  <c r="G64" i="5"/>
  <c r="E64" i="5"/>
  <c r="C64" i="5"/>
  <c r="M63" i="5"/>
  <c r="K63" i="5"/>
  <c r="I63" i="5"/>
  <c r="G63" i="5"/>
  <c r="E63" i="5"/>
  <c r="C63" i="5"/>
  <c r="M62" i="5"/>
  <c r="K62" i="5"/>
  <c r="I62" i="5"/>
  <c r="G62" i="5"/>
  <c r="E62" i="5"/>
  <c r="C62" i="5"/>
  <c r="M61" i="5"/>
  <c r="K61" i="5"/>
  <c r="I61" i="5"/>
  <c r="G61" i="5"/>
  <c r="E61" i="5"/>
  <c r="C61" i="5"/>
  <c r="M60" i="5"/>
  <c r="K60" i="5"/>
  <c r="I60" i="5"/>
  <c r="G60" i="5"/>
  <c r="E60" i="5"/>
  <c r="C60" i="5"/>
  <c r="M59" i="5"/>
  <c r="K59" i="5"/>
  <c r="I59" i="5"/>
  <c r="G59" i="5"/>
  <c r="E59" i="5"/>
  <c r="C59" i="5"/>
  <c r="M58" i="5"/>
  <c r="K58" i="5"/>
  <c r="I58" i="5"/>
  <c r="G58" i="5"/>
  <c r="E58" i="5"/>
  <c r="C58" i="5"/>
  <c r="M57" i="5"/>
  <c r="K57" i="5"/>
  <c r="I57" i="5"/>
  <c r="G57" i="5"/>
  <c r="E57" i="5"/>
  <c r="C57" i="5"/>
  <c r="M56" i="5"/>
  <c r="K56" i="5"/>
  <c r="I56" i="5"/>
  <c r="G56" i="5"/>
  <c r="E56" i="5"/>
  <c r="C56" i="5"/>
  <c r="M55" i="5"/>
  <c r="K55" i="5"/>
  <c r="I55" i="5"/>
  <c r="G55" i="5"/>
  <c r="E55" i="5"/>
  <c r="C55" i="5"/>
  <c r="M54" i="5"/>
  <c r="K54" i="5"/>
  <c r="I54" i="5"/>
  <c r="G54" i="5"/>
  <c r="E54" i="5"/>
  <c r="C54" i="5"/>
  <c r="M53" i="5"/>
  <c r="K53" i="5"/>
  <c r="I53" i="5"/>
  <c r="G53" i="5"/>
  <c r="E53" i="5"/>
  <c r="C53" i="5"/>
  <c r="M52" i="5"/>
  <c r="K52" i="5"/>
  <c r="I52" i="5"/>
  <c r="G52" i="5"/>
  <c r="E52" i="5"/>
  <c r="C52" i="5"/>
  <c r="M51" i="5"/>
  <c r="K51" i="5"/>
  <c r="I51" i="5"/>
  <c r="G51" i="5"/>
  <c r="E51" i="5"/>
  <c r="C51" i="5"/>
  <c r="M50" i="5"/>
  <c r="K50" i="5"/>
  <c r="I50" i="5"/>
  <c r="G50" i="5"/>
  <c r="E50" i="5"/>
  <c r="C50" i="5"/>
  <c r="M49" i="5"/>
  <c r="K49" i="5"/>
  <c r="I49" i="5"/>
  <c r="G49" i="5"/>
  <c r="E49" i="5"/>
  <c r="C49" i="5"/>
  <c r="M48" i="5"/>
  <c r="K48" i="5"/>
  <c r="I48" i="5"/>
  <c r="G48" i="5"/>
  <c r="E48" i="5"/>
  <c r="C48" i="5"/>
  <c r="M47" i="5"/>
  <c r="K47" i="5"/>
  <c r="I47" i="5"/>
  <c r="G47" i="5"/>
  <c r="E47" i="5"/>
  <c r="C47" i="5"/>
  <c r="M46" i="5"/>
  <c r="K46" i="5"/>
  <c r="I46" i="5"/>
  <c r="G46" i="5"/>
  <c r="E46" i="5"/>
  <c r="C46" i="5"/>
  <c r="M45" i="5"/>
  <c r="K45" i="5"/>
  <c r="I45" i="5"/>
  <c r="G45" i="5"/>
  <c r="E45" i="5"/>
  <c r="C45" i="5"/>
  <c r="M44" i="5"/>
  <c r="K44" i="5"/>
  <c r="I44" i="5"/>
  <c r="G44" i="5"/>
  <c r="E44" i="5"/>
  <c r="C44" i="5"/>
  <c r="M43" i="5"/>
  <c r="K43" i="5"/>
  <c r="I43" i="5"/>
  <c r="G43" i="5"/>
  <c r="E43" i="5"/>
  <c r="C43" i="5"/>
  <c r="M42" i="5"/>
  <c r="K42" i="5"/>
  <c r="I42" i="5"/>
  <c r="G42" i="5"/>
  <c r="E42" i="5"/>
  <c r="C42" i="5"/>
  <c r="M41" i="5"/>
  <c r="K41" i="5"/>
  <c r="I41" i="5"/>
  <c r="G41" i="5"/>
  <c r="E41" i="5"/>
  <c r="C41" i="5"/>
  <c r="M40" i="5"/>
  <c r="K40" i="5"/>
  <c r="I40" i="5"/>
  <c r="G40" i="5"/>
  <c r="E40" i="5"/>
  <c r="C40" i="5"/>
  <c r="M39" i="5"/>
  <c r="K39" i="5"/>
  <c r="I39" i="5"/>
  <c r="G39" i="5"/>
  <c r="E39" i="5"/>
  <c r="C39" i="5"/>
  <c r="M38" i="5"/>
  <c r="K38" i="5"/>
  <c r="I38" i="5"/>
  <c r="G38" i="5"/>
  <c r="E38" i="5"/>
  <c r="C38" i="5"/>
  <c r="M37" i="5"/>
  <c r="K37" i="5"/>
  <c r="I37" i="5"/>
  <c r="G37" i="5"/>
  <c r="E37" i="5"/>
  <c r="C37" i="5"/>
  <c r="M36" i="5"/>
  <c r="K36" i="5"/>
  <c r="I36" i="5"/>
  <c r="G36" i="5"/>
  <c r="E36" i="5"/>
  <c r="C36" i="5"/>
  <c r="M35" i="5"/>
  <c r="K35" i="5"/>
  <c r="I35" i="5"/>
  <c r="G35" i="5"/>
  <c r="E35" i="5"/>
  <c r="C35" i="5"/>
  <c r="M34" i="5"/>
  <c r="K34" i="5"/>
  <c r="I34" i="5"/>
  <c r="G34" i="5"/>
  <c r="E34" i="5"/>
  <c r="C34" i="5"/>
  <c r="M33" i="5"/>
  <c r="K33" i="5"/>
  <c r="I33" i="5"/>
  <c r="G33" i="5"/>
  <c r="E33" i="5"/>
  <c r="C33" i="5"/>
  <c r="M32" i="5"/>
  <c r="K32" i="5"/>
  <c r="I32" i="5"/>
  <c r="G32" i="5"/>
  <c r="E32" i="5"/>
  <c r="C32" i="5"/>
  <c r="M31" i="5"/>
  <c r="K31" i="5"/>
  <c r="I31" i="5"/>
  <c r="G31" i="5"/>
  <c r="E31" i="5"/>
  <c r="C31" i="5"/>
  <c r="M30" i="5"/>
  <c r="K30" i="5"/>
  <c r="I30" i="5"/>
  <c r="G30" i="5"/>
  <c r="E30" i="5"/>
  <c r="C30" i="5"/>
  <c r="M29" i="5"/>
  <c r="K29" i="5"/>
  <c r="I29" i="5"/>
  <c r="G29" i="5"/>
  <c r="E29" i="5"/>
  <c r="C29" i="5"/>
  <c r="M28" i="5"/>
  <c r="K28" i="5"/>
  <c r="I28" i="5"/>
  <c r="G28" i="5"/>
  <c r="E28" i="5"/>
  <c r="C28" i="5"/>
  <c r="M27" i="5"/>
  <c r="K27" i="5"/>
  <c r="I27" i="5"/>
  <c r="G27" i="5"/>
  <c r="E27" i="5"/>
  <c r="C27" i="5"/>
  <c r="M26" i="5"/>
  <c r="K26" i="5"/>
  <c r="I26" i="5"/>
  <c r="G26" i="5"/>
  <c r="E26" i="5"/>
  <c r="C26" i="5"/>
  <c r="M25" i="5"/>
  <c r="K25" i="5"/>
  <c r="I25" i="5"/>
  <c r="G25" i="5"/>
  <c r="E25" i="5"/>
  <c r="C25" i="5"/>
  <c r="M24" i="5"/>
  <c r="K24" i="5"/>
  <c r="I24" i="5"/>
  <c r="G24" i="5"/>
  <c r="E24" i="5"/>
  <c r="C24" i="5"/>
  <c r="M23" i="5"/>
  <c r="K23" i="5"/>
  <c r="I23" i="5"/>
  <c r="G23" i="5"/>
  <c r="E23" i="5"/>
  <c r="C23" i="5"/>
  <c r="M22" i="5"/>
  <c r="K22" i="5"/>
  <c r="I22" i="5"/>
  <c r="G22" i="5"/>
  <c r="E22" i="5"/>
  <c r="C22" i="5"/>
  <c r="M21" i="5"/>
  <c r="K21" i="5"/>
  <c r="I21" i="5"/>
  <c r="G21" i="5"/>
  <c r="E21" i="5"/>
  <c r="C21" i="5"/>
  <c r="M20" i="5"/>
  <c r="K20" i="5"/>
  <c r="I20" i="5"/>
  <c r="G20" i="5"/>
  <c r="E20" i="5"/>
  <c r="C20" i="5"/>
  <c r="M19" i="5"/>
  <c r="K19" i="5"/>
  <c r="I19" i="5"/>
  <c r="G19" i="5"/>
  <c r="E19" i="5"/>
  <c r="C19" i="5"/>
  <c r="M18" i="5"/>
  <c r="K18" i="5"/>
  <c r="I18" i="5"/>
  <c r="G18" i="5"/>
  <c r="E18" i="5"/>
  <c r="C18" i="5"/>
  <c r="M17" i="5"/>
  <c r="K17" i="5"/>
  <c r="I17" i="5"/>
  <c r="G17" i="5"/>
  <c r="E17" i="5"/>
  <c r="C17" i="5"/>
  <c r="M16" i="5"/>
  <c r="K16" i="5"/>
  <c r="I16" i="5"/>
  <c r="G16" i="5"/>
  <c r="E16" i="5"/>
  <c r="C16" i="5"/>
  <c r="M15" i="5"/>
  <c r="K15" i="5"/>
  <c r="I15" i="5"/>
  <c r="G15" i="5"/>
  <c r="E15" i="5"/>
  <c r="C15" i="5"/>
  <c r="M14" i="5"/>
  <c r="K14" i="5"/>
  <c r="I14" i="5"/>
  <c r="G14" i="5"/>
  <c r="E14" i="5"/>
  <c r="C14" i="5"/>
  <c r="M13" i="5"/>
  <c r="K13" i="5"/>
  <c r="I13" i="5"/>
  <c r="G13" i="5"/>
  <c r="E13" i="5"/>
  <c r="C13" i="5"/>
  <c r="M12" i="5"/>
  <c r="K12" i="5"/>
  <c r="I12" i="5"/>
  <c r="G12" i="5"/>
  <c r="E12" i="5"/>
  <c r="C12" i="5"/>
  <c r="M11" i="5"/>
  <c r="K11" i="5"/>
  <c r="I11" i="5"/>
  <c r="G11" i="5"/>
  <c r="E11" i="5"/>
  <c r="C11" i="5"/>
  <c r="M10" i="5"/>
  <c r="K10" i="5"/>
  <c r="I10" i="5"/>
  <c r="G10" i="5"/>
  <c r="E10" i="5"/>
  <c r="C10" i="5"/>
  <c r="M9" i="5"/>
  <c r="K9" i="5"/>
  <c r="I9" i="5"/>
  <c r="G9" i="5"/>
  <c r="E9" i="5"/>
  <c r="C9" i="5"/>
  <c r="M8" i="5"/>
  <c r="K8" i="5"/>
  <c r="I8" i="5"/>
  <c r="G8" i="5"/>
  <c r="E8" i="5"/>
  <c r="C8" i="5"/>
  <c r="M7" i="5"/>
  <c r="K7" i="5"/>
  <c r="I7" i="5"/>
  <c r="G7" i="5"/>
  <c r="E7" i="5"/>
  <c r="C7" i="5"/>
  <c r="M6" i="5"/>
  <c r="K6" i="5"/>
  <c r="I6" i="5"/>
  <c r="G6" i="5"/>
  <c r="E6" i="5"/>
  <c r="C6" i="5"/>
  <c r="M5" i="5"/>
  <c r="K5" i="5"/>
  <c r="I5" i="5"/>
  <c r="G5" i="5"/>
  <c r="E5" i="5"/>
  <c r="C5" i="5"/>
  <c r="M4" i="5"/>
  <c r="K4" i="5"/>
  <c r="I4" i="5"/>
  <c r="G4" i="5"/>
  <c r="E4" i="5"/>
  <c r="C4" i="5"/>
  <c r="M3" i="5"/>
  <c r="K3" i="5"/>
  <c r="I3" i="5"/>
  <c r="G3" i="5"/>
  <c r="E3" i="5"/>
  <c r="C3" i="5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M3" i="2"/>
  <c r="K3" i="2"/>
  <c r="I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PAVANI</author>
  </authors>
  <commentList>
    <comment ref="E1" authorId="0" shapeId="0" xr:uid="{C5473471-E031-4DA2-B295-6CDF376EDDE0}">
      <text>
        <r>
          <rPr>
            <b/>
            <sz val="9"/>
            <color indexed="81"/>
            <rFont val="Tahoma"/>
            <family val="2"/>
          </rPr>
          <t>Condition Behaviour</t>
        </r>
        <r>
          <rPr>
            <sz val="9"/>
            <color indexed="81"/>
            <rFont val="Tahoma"/>
            <family val="2"/>
          </rPr>
          <t xml:space="preserve">
Highest SD = Very High Fluctuation
High SD = High Fluctuation
Moderate SD = Moderate Response
Low SD = Defensive / Stable</t>
        </r>
      </text>
    </comment>
  </commentList>
</comments>
</file>

<file path=xl/sharedStrings.xml><?xml version="1.0" encoding="utf-8"?>
<sst xmlns="http://schemas.openxmlformats.org/spreadsheetml/2006/main" count="719" uniqueCount="143">
  <si>
    <t>Month</t>
  </si>
  <si>
    <t>Nifty_Auto</t>
  </si>
  <si>
    <t>Nifty_Bank</t>
  </si>
  <si>
    <t>Nifty_IT</t>
  </si>
  <si>
    <t>Nifty_Pharma</t>
  </si>
  <si>
    <t>Nifty_FMCG</t>
  </si>
  <si>
    <t>Nifty_Metal</t>
  </si>
  <si>
    <t>January - 2018</t>
  </si>
  <si>
    <t>February - 2018</t>
  </si>
  <si>
    <t>March - 2018</t>
  </si>
  <si>
    <t>April - 2018</t>
  </si>
  <si>
    <t>May - 2018</t>
  </si>
  <si>
    <t>June - 2018</t>
  </si>
  <si>
    <t>July - 2018</t>
  </si>
  <si>
    <t>August - 2018</t>
  </si>
  <si>
    <t>September - 2018</t>
  </si>
  <si>
    <t>October - 2018</t>
  </si>
  <si>
    <t>November - 2018</t>
  </si>
  <si>
    <t>December - 2018</t>
  </si>
  <si>
    <t>January - 2019</t>
  </si>
  <si>
    <t>February - 2019</t>
  </si>
  <si>
    <t>March - 2019</t>
  </si>
  <si>
    <t>April - 2019</t>
  </si>
  <si>
    <t>May - 2019</t>
  </si>
  <si>
    <t>June - 2019</t>
  </si>
  <si>
    <t>July - 2019</t>
  </si>
  <si>
    <t>August - 2019</t>
  </si>
  <si>
    <t>September - 2019</t>
  </si>
  <si>
    <t>October - 2019</t>
  </si>
  <si>
    <t>November - 2019</t>
  </si>
  <si>
    <t>December - 2019</t>
  </si>
  <si>
    <t>January - 2020</t>
  </si>
  <si>
    <t>February - 2020</t>
  </si>
  <si>
    <t>March - 2020</t>
  </si>
  <si>
    <t>April - 2020</t>
  </si>
  <si>
    <t>May - 2020</t>
  </si>
  <si>
    <t>June - 2020</t>
  </si>
  <si>
    <t>July - 2020</t>
  </si>
  <si>
    <t>August - 2020</t>
  </si>
  <si>
    <t>September - 2020</t>
  </si>
  <si>
    <t>October - 2020</t>
  </si>
  <si>
    <t>November - 2020</t>
  </si>
  <si>
    <t>December - 2020</t>
  </si>
  <si>
    <t>January - 2021</t>
  </si>
  <si>
    <t>February - 2021</t>
  </si>
  <si>
    <t>March - 2021</t>
  </si>
  <si>
    <t>April - 2021</t>
  </si>
  <si>
    <t>May - 2021</t>
  </si>
  <si>
    <t>June - 2021</t>
  </si>
  <si>
    <t>July - 2021</t>
  </si>
  <si>
    <t>August - 2021</t>
  </si>
  <si>
    <t>September - 2021</t>
  </si>
  <si>
    <t>October - 2021</t>
  </si>
  <si>
    <t>November - 2021</t>
  </si>
  <si>
    <t>December - 2021</t>
  </si>
  <si>
    <t>January - 2022</t>
  </si>
  <si>
    <t>February - 2022</t>
  </si>
  <si>
    <t>March - 2022</t>
  </si>
  <si>
    <t>April - 2022</t>
  </si>
  <si>
    <t>May - 2022</t>
  </si>
  <si>
    <t>June - 2022</t>
  </si>
  <si>
    <t>July - 2022</t>
  </si>
  <si>
    <t>August - 2022</t>
  </si>
  <si>
    <t>September - 2022</t>
  </si>
  <si>
    <t>October - 2022</t>
  </si>
  <si>
    <t>November - 2022</t>
  </si>
  <si>
    <t>December - 2022</t>
  </si>
  <si>
    <t>January - 2023</t>
  </si>
  <si>
    <t>February - 2023</t>
  </si>
  <si>
    <t>March - 2023</t>
  </si>
  <si>
    <t>April - 2023</t>
  </si>
  <si>
    <t>May - 2023</t>
  </si>
  <si>
    <t>June - 2023</t>
  </si>
  <si>
    <t>July - 2023</t>
  </si>
  <si>
    <t>August - 2023</t>
  </si>
  <si>
    <t>September - 2023</t>
  </si>
  <si>
    <t>October - 2023</t>
  </si>
  <si>
    <t>November - 2023</t>
  </si>
  <si>
    <t>December - 2023</t>
  </si>
  <si>
    <t>January - 2024</t>
  </si>
  <si>
    <t>February - 2024</t>
  </si>
  <si>
    <t>March - 2024</t>
  </si>
  <si>
    <t>April - 2024</t>
  </si>
  <si>
    <t>May - 2024</t>
  </si>
  <si>
    <t>June - 2024</t>
  </si>
  <si>
    <t>July - 2024</t>
  </si>
  <si>
    <t>August - 2024</t>
  </si>
  <si>
    <t>September - 2024</t>
  </si>
  <si>
    <t>October - 2024</t>
  </si>
  <si>
    <t>November - 2024</t>
  </si>
  <si>
    <t>December - 2024</t>
  </si>
  <si>
    <t>Auto_Returns</t>
  </si>
  <si>
    <t>Bank_Returns</t>
  </si>
  <si>
    <t>IT_Returns</t>
  </si>
  <si>
    <t>Pharma_Returns</t>
  </si>
  <si>
    <t>FMCG_Returns</t>
  </si>
  <si>
    <t>Metal_Returns</t>
  </si>
  <si>
    <t>-</t>
  </si>
  <si>
    <t>Auto</t>
  </si>
  <si>
    <t>Bank</t>
  </si>
  <si>
    <t>IT</t>
  </si>
  <si>
    <t>Pharma</t>
  </si>
  <si>
    <t>FMCG</t>
  </si>
  <si>
    <t>Metal</t>
  </si>
  <si>
    <t>Volatility</t>
  </si>
  <si>
    <t>Volatility Analysis (SD)</t>
  </si>
  <si>
    <t>Metric</t>
  </si>
  <si>
    <t>SD</t>
  </si>
  <si>
    <t>Rank</t>
  </si>
  <si>
    <t>Average Returns</t>
  </si>
  <si>
    <t>Average Returns Analysis</t>
  </si>
  <si>
    <t>VIX</t>
  </si>
  <si>
    <t>Uncertainity Period</t>
  </si>
  <si>
    <t>Column1</t>
  </si>
  <si>
    <t>Behaviour in Uncertainity</t>
  </si>
  <si>
    <t>High Fluctuation</t>
  </si>
  <si>
    <t>Moderate Response</t>
  </si>
  <si>
    <t>Stable</t>
  </si>
  <si>
    <t>Defensive</t>
  </si>
  <si>
    <t>Very High Fluctuation</t>
  </si>
  <si>
    <t>Condition</t>
  </si>
  <si>
    <t>Behaviour</t>
  </si>
  <si>
    <t>Highest SD</t>
  </si>
  <si>
    <t>High SD</t>
  </si>
  <si>
    <t>Moderate SD</t>
  </si>
  <si>
    <t>Low SD</t>
  </si>
  <si>
    <t>Defensive / Stable</t>
  </si>
  <si>
    <t>Rule</t>
  </si>
  <si>
    <t>Correlation Analysis</t>
  </si>
  <si>
    <t>Sector</t>
  </si>
  <si>
    <t>Correlation with VIX</t>
  </si>
  <si>
    <t>Responsiveness</t>
  </si>
  <si>
    <t>High</t>
  </si>
  <si>
    <t>Moderate</t>
  </si>
  <si>
    <t>Low</t>
  </si>
  <si>
    <t>Highly Responsive</t>
  </si>
  <si>
    <t>Moderately Responsive</t>
  </si>
  <si>
    <t>Very High</t>
  </si>
  <si>
    <t>Highly Sensitive but Erratic</t>
  </si>
  <si>
    <t>Low Responsive (Defensive)</t>
  </si>
  <si>
    <t>Volatility Level</t>
  </si>
  <si>
    <t>Defensive / Non-Responsive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</si>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</sst>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&quot;%&quot;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1" fontId="2" fillId="2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/>
    </xf>
    <xf numFmtId="0" fontId="0" fillId="0" borderId="1" xfId="0" applyBorder="1"/>
    <xf numFmtId="1" fontId="0" fillId="0" borderId="1" xfId="0" applyNumberFormat="1" applyBorder="1"/>
    <xf numFmtId="0" fontId="2" fillId="0" borderId="1" xfId="0" applyFont="1" applyBorder="1"/>
    <xf numFmtId="0" fontId="2" fillId="0" borderId="2" xfId="0" applyFont="1" applyBorder="1"/>
    <xf numFmtId="2" fontId="0" fillId="0" borderId="1" xfId="0" applyNumberFormat="1" applyBorder="1"/>
    <xf numFmtId="2" fontId="0" fillId="0" borderId="2" xfId="0" applyNumberFormat="1" applyBorder="1"/>
    <xf numFmtId="164" fontId="2" fillId="0" borderId="1" xfId="0" applyNumberFormat="1" applyFont="1" applyBorder="1"/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/>
    <xf numFmtId="164" fontId="0" fillId="0" borderId="0" xfId="0" applyNumberFormat="1"/>
    <xf numFmtId="1" fontId="0" fillId="0" borderId="0" xfId="0" applyNumberFormat="1"/>
    <xf numFmtId="0" fontId="1" fillId="3" borderId="4" xfId="0" applyFont="1" applyFill="1" applyBorder="1"/>
    <xf numFmtId="0" fontId="1" fillId="3" borderId="5" xfId="0" applyFont="1" applyFill="1" applyBorder="1"/>
    <xf numFmtId="1" fontId="0" fillId="0" borderId="6" xfId="0" applyNumberFormat="1" applyBorder="1"/>
    <xf numFmtId="1" fontId="0" fillId="0" borderId="7" xfId="0" applyNumberFormat="1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0" fontId="2" fillId="0" borderId="7" xfId="0" applyFont="1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" fontId="0" fillId="4" borderId="1" xfId="0" applyNumberFormat="1" applyFill="1" applyBorder="1"/>
    <xf numFmtId="0" fontId="5" fillId="0" borderId="1" xfId="0" applyFont="1" applyBorder="1" applyAlignment="1">
      <alignment horizontal="center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6" fillId="5" borderId="0" xfId="0" applyFont="1" applyFill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" fontId="0" fillId="4" borderId="1" xfId="0" applyNumberFormat="1" applyFill="1" applyBorder="1"/>
  </cellXfs>
  <cellStyles count="1">
    <cellStyle name="Normal" xfId="0" builtinId="0"/>
  </cellStyles>
  <dxfs count="10"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1" defaultTableStyle="TableStyleMedium2" defaultPivotStyle="PivotStyleLight16">
    <tableStyle name="Invisible" pivot="0" table="0" count="0" xr9:uid="{7F42158E-E82D-4832-A3C5-837BE73DE0B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Volatility Analysis </a:t>
            </a:r>
          </a:p>
        </c:rich>
      </c:tx>
      <c:overlay val="0"/>
      <c:spPr>
        <a:solidFill>
          <a:schemeClr val="tx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'Volatility Analysis'!$R$1:$R$2</c:f>
              <c:strCache>
                <c:ptCount val="2"/>
                <c:pt idx="0">
                  <c:v>Volatility Analysis (SD)</c:v>
                </c:pt>
                <c:pt idx="1">
                  <c:v>SD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'Volatility Analysis'!$Q$3:$Q$8</c:f>
              <c:strCache>
                <c:ptCount val="6"/>
                <c:pt idx="0">
                  <c:v>Auto</c:v>
                </c:pt>
                <c:pt idx="1">
                  <c:v>Bank</c:v>
                </c:pt>
                <c:pt idx="2">
                  <c:v>IT</c:v>
                </c:pt>
                <c:pt idx="3">
                  <c:v>Pharma</c:v>
                </c:pt>
                <c:pt idx="4">
                  <c:v>FMCG</c:v>
                </c:pt>
                <c:pt idx="5">
                  <c:v>Metal</c:v>
                </c:pt>
              </c:strCache>
            </c:strRef>
          </c:cat>
          <c:val>
            <c:numRef>
              <c:f>'Volatility Analysis'!$R$3:$R$8</c:f>
              <c:numCache>
                <c:formatCode>0.00"%"</c:formatCode>
                <c:ptCount val="6"/>
                <c:pt idx="0">
                  <c:v>6.1004237277468425</c:v>
                </c:pt>
                <c:pt idx="1">
                  <c:v>5.7137013774414775</c:v>
                </c:pt>
                <c:pt idx="2">
                  <c:v>5.4391798465849419</c:v>
                </c:pt>
                <c:pt idx="3">
                  <c:v>5.0732182919898152</c:v>
                </c:pt>
                <c:pt idx="4">
                  <c:v>3.943533334358972</c:v>
                </c:pt>
                <c:pt idx="5">
                  <c:v>7.80198996902228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02-4A3E-89DE-2BEAABD48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913981663"/>
        <c:axId val="1913982623"/>
      </c:barChart>
      <c:catAx>
        <c:axId val="1913981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982623"/>
        <c:crosses val="autoZero"/>
        <c:auto val="1"/>
        <c:lblAlgn val="ctr"/>
        <c:lblOffset val="100"/>
        <c:noMultiLvlLbl val="0"/>
      </c:catAx>
      <c:valAx>
        <c:axId val="1913982623"/>
        <c:scaling>
          <c:orientation val="minMax"/>
        </c:scaling>
        <c:delete val="0"/>
        <c:axPos val="l"/>
        <c:numFmt formatCode="0.0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981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Average Returns Analysis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'Average Returns'!$K$2:$K$3</c:f>
              <c:strCache>
                <c:ptCount val="2"/>
                <c:pt idx="0">
                  <c:v>Average Returns Analysis</c:v>
                </c:pt>
                <c:pt idx="1">
                  <c:v>Average Returns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838-4B79-8181-E784ECE7EE0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838-4B79-8181-E784ECE7EE0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838-4B79-8181-E784ECE7EE0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838-4B79-8181-E784ECE7EE0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838-4B79-8181-E784ECE7EE0D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4838-4B79-8181-E784ECE7EE0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'Average Returns'!$J$4:$J$9</c:f>
              <c:strCache>
                <c:ptCount val="6"/>
                <c:pt idx="0">
                  <c:v>Auto</c:v>
                </c:pt>
                <c:pt idx="1">
                  <c:v>Bank</c:v>
                </c:pt>
                <c:pt idx="2">
                  <c:v>IT</c:v>
                </c:pt>
                <c:pt idx="3">
                  <c:v>Pharma</c:v>
                </c:pt>
                <c:pt idx="4">
                  <c:v>FMCG</c:v>
                </c:pt>
                <c:pt idx="5">
                  <c:v>Metal</c:v>
                </c:pt>
              </c:strCache>
            </c:strRef>
          </c:cat>
          <c:val>
            <c:numRef>
              <c:f>'Average Returns'!$K$4:$K$9</c:f>
              <c:numCache>
                <c:formatCode>0.00"%"</c:formatCode>
                <c:ptCount val="6"/>
                <c:pt idx="0">
                  <c:v>1.0204974534577098</c:v>
                </c:pt>
                <c:pt idx="1">
                  <c:v>1.000947337284795</c:v>
                </c:pt>
                <c:pt idx="2">
                  <c:v>1.7052292990012272</c:v>
                </c:pt>
                <c:pt idx="3">
                  <c:v>1.1409130462026225</c:v>
                </c:pt>
                <c:pt idx="4">
                  <c:v>0.96576189371394328</c:v>
                </c:pt>
                <c:pt idx="5">
                  <c:v>1.2795058949756899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DA-49AE-AEDB-0B4948ABF0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1"/>
    </a:solidFill>
    <a:ln>
      <a:noFill/>
    </a:ln>
    <a:effectLst/>
  </c:spPr>
  <c:txPr>
    <a:bodyPr/>
    <a:lstStyle/>
    <a:p>
      <a:pPr>
        <a:defRPr b="1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Correlation Analysis with VIX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'Correlation Analysis'!$L$2</c:f>
              <c:strCache>
                <c:ptCount val="1"/>
                <c:pt idx="0">
                  <c:v>Correlation with VIX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3"/>
              <c:layout>
                <c:manualLayout>
                  <c:x val="-2.7777777777777779E-3"/>
                  <c:y val="7.013342082239719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F0-4130-AEE6-1D7CDA1D2D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'Correlation Analysis'!$K$3:$K$8</c:f>
              <c:strCache>
                <c:ptCount val="6"/>
                <c:pt idx="0">
                  <c:v>Auto</c:v>
                </c:pt>
                <c:pt idx="1">
                  <c:v>Bank</c:v>
                </c:pt>
                <c:pt idx="2">
                  <c:v>IT</c:v>
                </c:pt>
                <c:pt idx="3">
                  <c:v>Pharma</c:v>
                </c:pt>
                <c:pt idx="4">
                  <c:v>FMCG</c:v>
                </c:pt>
                <c:pt idx="5">
                  <c:v>Metal</c:v>
                </c:pt>
              </c:strCache>
            </c:strRef>
          </c:cat>
          <c:val>
            <c:numRef>
              <c:f>'Correlation Analysis'!$L$3:$L$8</c:f>
              <c:numCache>
                <c:formatCode>0.00</c:formatCode>
                <c:ptCount val="6"/>
                <c:pt idx="0">
                  <c:v>-0.24032315008837626</c:v>
                </c:pt>
                <c:pt idx="1">
                  <c:v>-0.38545002392156369</c:v>
                </c:pt>
                <c:pt idx="2">
                  <c:v>-0.25823347197322649</c:v>
                </c:pt>
                <c:pt idx="3">
                  <c:v>3.1626268271245997E-2</c:v>
                </c:pt>
                <c:pt idx="4">
                  <c:v>-0.19713625959881639</c:v>
                </c:pt>
                <c:pt idx="5">
                  <c:v>-0.20108172869849159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F0-4130-AEE6-1D7CDA1D2D5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39498367"/>
        <c:axId val="1939498847"/>
      </c:barChart>
      <c:catAx>
        <c:axId val="1939498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498847"/>
        <c:crosses val="autoZero"/>
        <c:auto val="1"/>
        <c:lblAlgn val="ctr"/>
        <c:lblOffset val="100"/>
        <c:noMultiLvlLbl val="0"/>
      </c:catAx>
      <c:valAx>
        <c:axId val="193949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498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>
      <a:solidFill>
        <a:sysClr val="windowText" lastClr="000000"/>
      </a:solidFill>
    </a:ln>
    <a:effectLst/>
  </c:spPr>
  <c:txPr>
    <a:bodyPr/>
    <a:lstStyle/>
    <a:p>
      <a:pPr>
        <a:defRPr b="1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Sectoral Movement during High Economic Uncertainty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'Graphical Analysis'!$W$6</c:f>
              <c:strCache>
                <c:ptCount val="1"/>
                <c:pt idx="0">
                  <c:v>Nifty_Bank</c:v>
                </c:pt>
              </c:strCache>
            </c:strRef>
          </c:tx>
          <c:spPr>
            <a:ln w="9525" cap="rnd">
              <a:solidFill>
                <a:srgbClr val="FF0000"/>
              </a:solidFill>
            </a:ln>
            <a:effectLst>
              <a:glow rad="139700">
                <a:schemeClr val="accent2">
                  <a:satMod val="175000"/>
                  <a:alpha val="40000"/>
                </a:schemeClr>
              </a:glow>
            </a:effectLst>
          </c:spPr>
          <c:marker>
            <c:symbol val="none"/>
          </c:marker>
          <c:cat>
            <c:strRef>
              <c:f>'Graphical Analysis'!$V$7:$V$37</c:f>
              <c:strCache>
                <c:ptCount val="31"/>
                <c:pt idx="0">
                  <c:v>October - 2018</c:v>
                </c:pt>
                <c:pt idx="1">
                  <c:v>November - 2018</c:v>
                </c:pt>
                <c:pt idx="2">
                  <c:v>April - 2019</c:v>
                </c:pt>
                <c:pt idx="3">
                  <c:v>May - 2019</c:v>
                </c:pt>
                <c:pt idx="4">
                  <c:v>March - 2020</c:v>
                </c:pt>
                <c:pt idx="5">
                  <c:v>April - 2020</c:v>
                </c:pt>
                <c:pt idx="6">
                  <c:v>May - 2020</c:v>
                </c:pt>
                <c:pt idx="7">
                  <c:v>June - 2020</c:v>
                </c:pt>
                <c:pt idx="8">
                  <c:v>July - 2020</c:v>
                </c:pt>
                <c:pt idx="9">
                  <c:v>August - 2020</c:v>
                </c:pt>
                <c:pt idx="10">
                  <c:v>September - 2020</c:v>
                </c:pt>
                <c:pt idx="11">
                  <c:v>October - 2020</c:v>
                </c:pt>
                <c:pt idx="12">
                  <c:v>November - 2020</c:v>
                </c:pt>
                <c:pt idx="13">
                  <c:v>December - 2020</c:v>
                </c:pt>
                <c:pt idx="14">
                  <c:v>January - 2021</c:v>
                </c:pt>
                <c:pt idx="15">
                  <c:v>February - 2021</c:v>
                </c:pt>
                <c:pt idx="16">
                  <c:v>March - 2021</c:v>
                </c:pt>
                <c:pt idx="17">
                  <c:v>April - 2021</c:v>
                </c:pt>
                <c:pt idx="18">
                  <c:v>September - 2021</c:v>
                </c:pt>
                <c:pt idx="19">
                  <c:v>November - 2021</c:v>
                </c:pt>
                <c:pt idx="20">
                  <c:v>January - 2022</c:v>
                </c:pt>
                <c:pt idx="21">
                  <c:v>February - 2022</c:v>
                </c:pt>
                <c:pt idx="22">
                  <c:v>March - 2022</c:v>
                </c:pt>
                <c:pt idx="23">
                  <c:v>April - 2022</c:v>
                </c:pt>
                <c:pt idx="24">
                  <c:v>May - 2022</c:v>
                </c:pt>
                <c:pt idx="25">
                  <c:v>June - 2022</c:v>
                </c:pt>
                <c:pt idx="26">
                  <c:v>July - 2022</c:v>
                </c:pt>
                <c:pt idx="27">
                  <c:v>August - 2022</c:v>
                </c:pt>
                <c:pt idx="28">
                  <c:v>September - 2022</c:v>
                </c:pt>
                <c:pt idx="29">
                  <c:v>October - 2022</c:v>
                </c:pt>
                <c:pt idx="30">
                  <c:v>May - 2024</c:v>
                </c:pt>
              </c:strCache>
            </c:strRef>
          </c:cat>
          <c:val>
            <c:numRef>
              <c:f>'Graphical Analysis'!$W$7:$W$37</c:f>
              <c:numCache>
                <c:formatCode>0</c:formatCode>
                <c:ptCount val="31"/>
                <c:pt idx="0">
                  <c:v>24993.985714285711</c:v>
                </c:pt>
                <c:pt idx="1">
                  <c:v>26062.377500000006</c:v>
                </c:pt>
                <c:pt idx="2">
                  <c:v>29972.526315789473</c:v>
                </c:pt>
                <c:pt idx="3">
                  <c:v>30025.913636363635</c:v>
                </c:pt>
                <c:pt idx="4">
                  <c:v>22936.040476190479</c:v>
                </c:pt>
                <c:pt idx="5">
                  <c:v>19715.116666666665</c:v>
                </c:pt>
                <c:pt idx="6">
                  <c:v>18707.215789473685</c:v>
                </c:pt>
                <c:pt idx="7">
                  <c:v>20953.67954545455</c:v>
                </c:pt>
                <c:pt idx="8">
                  <c:v>22171.15</c:v>
                </c:pt>
                <c:pt idx="9">
                  <c:v>22352.885714285712</c:v>
                </c:pt>
                <c:pt idx="10">
                  <c:v>22194.343181818178</c:v>
                </c:pt>
                <c:pt idx="11">
                  <c:v>23733.585714285713</c:v>
                </c:pt>
                <c:pt idx="12">
                  <c:v>28198.484999999997</c:v>
                </c:pt>
                <c:pt idx="13">
                  <c:v>30405.259090909094</c:v>
                </c:pt>
                <c:pt idx="14">
                  <c:v>31710.947499999998</c:v>
                </c:pt>
                <c:pt idx="15">
                  <c:v>35736.11</c:v>
                </c:pt>
                <c:pt idx="16">
                  <c:v>34643.347619047614</c:v>
                </c:pt>
                <c:pt idx="17">
                  <c:v>32366.831578947364</c:v>
                </c:pt>
                <c:pt idx="18">
                  <c:v>37157.595238095244</c:v>
                </c:pt>
                <c:pt idx="19">
                  <c:v>38186.729999999996</c:v>
                </c:pt>
                <c:pt idx="20">
                  <c:v>37836.995000000003</c:v>
                </c:pt>
                <c:pt idx="21">
                  <c:v>37813.719999999987</c:v>
                </c:pt>
                <c:pt idx="22">
                  <c:v>35229.55000000001</c:v>
                </c:pt>
                <c:pt idx="23">
                  <c:v>36994.268421052635</c:v>
                </c:pt>
                <c:pt idx="24">
                  <c:v>34567.242857142861</c:v>
                </c:pt>
                <c:pt idx="25">
                  <c:v>33926.384090909087</c:v>
                </c:pt>
                <c:pt idx="26">
                  <c:v>35486.080952380958</c:v>
                </c:pt>
                <c:pt idx="27">
                  <c:v>38658.435000000005</c:v>
                </c:pt>
                <c:pt idx="28">
                  <c:v>39903.704545454544</c:v>
                </c:pt>
                <c:pt idx="29">
                  <c:v>39893.473684210527</c:v>
                </c:pt>
                <c:pt idx="30">
                  <c:v>48364.570454545457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14-4BBF-AC9B-22AE163029D8}"/>
            </c:ext>
          </c:extLst>
        </c:ser>
        <c:ser>
          <c:idx val="1"/>
          <c:order val="1"/>
          <c:tx>
            <c:strRef>
              <c:f>'Graphical Analysis'!$X$6</c:f>
              <c:strCache>
                <c:ptCount val="1"/>
                <c:pt idx="0">
                  <c:v>Nifty_FMCG</c:v>
                </c:pt>
              </c:strCache>
            </c:strRef>
          </c:tx>
          <c:spPr>
            <a:ln w="9525" cap="rnd">
              <a:solidFill>
                <a:srgbClr val="FFFF00"/>
              </a:solidFill>
            </a:ln>
            <a:effectLst>
              <a:glow rad="101600">
                <a:schemeClr val="accent4">
                  <a:satMod val="175000"/>
                  <a:alpha val="40000"/>
                </a:schemeClr>
              </a:glow>
            </a:effectLst>
          </c:spPr>
          <c:marker>
            <c:symbol val="none"/>
          </c:marker>
          <c:cat>
            <c:strRef>
              <c:f>'Graphical Analysis'!$V$7:$V$37</c:f>
              <c:strCache>
                <c:ptCount val="31"/>
                <c:pt idx="0">
                  <c:v>October - 2018</c:v>
                </c:pt>
                <c:pt idx="1">
                  <c:v>November - 2018</c:v>
                </c:pt>
                <c:pt idx="2">
                  <c:v>April - 2019</c:v>
                </c:pt>
                <c:pt idx="3">
                  <c:v>May - 2019</c:v>
                </c:pt>
                <c:pt idx="4">
                  <c:v>March - 2020</c:v>
                </c:pt>
                <c:pt idx="5">
                  <c:v>April - 2020</c:v>
                </c:pt>
                <c:pt idx="6">
                  <c:v>May - 2020</c:v>
                </c:pt>
                <c:pt idx="7">
                  <c:v>June - 2020</c:v>
                </c:pt>
                <c:pt idx="8">
                  <c:v>July - 2020</c:v>
                </c:pt>
                <c:pt idx="9">
                  <c:v>August - 2020</c:v>
                </c:pt>
                <c:pt idx="10">
                  <c:v>September - 2020</c:v>
                </c:pt>
                <c:pt idx="11">
                  <c:v>October - 2020</c:v>
                </c:pt>
                <c:pt idx="12">
                  <c:v>November - 2020</c:v>
                </c:pt>
                <c:pt idx="13">
                  <c:v>December - 2020</c:v>
                </c:pt>
                <c:pt idx="14">
                  <c:v>January - 2021</c:v>
                </c:pt>
                <c:pt idx="15">
                  <c:v>February - 2021</c:v>
                </c:pt>
                <c:pt idx="16">
                  <c:v>March - 2021</c:v>
                </c:pt>
                <c:pt idx="17">
                  <c:v>April - 2021</c:v>
                </c:pt>
                <c:pt idx="18">
                  <c:v>September - 2021</c:v>
                </c:pt>
                <c:pt idx="19">
                  <c:v>November - 2021</c:v>
                </c:pt>
                <c:pt idx="20">
                  <c:v>January - 2022</c:v>
                </c:pt>
                <c:pt idx="21">
                  <c:v>February - 2022</c:v>
                </c:pt>
                <c:pt idx="22">
                  <c:v>March - 2022</c:v>
                </c:pt>
                <c:pt idx="23">
                  <c:v>April - 2022</c:v>
                </c:pt>
                <c:pt idx="24">
                  <c:v>May - 2022</c:v>
                </c:pt>
                <c:pt idx="25">
                  <c:v>June - 2022</c:v>
                </c:pt>
                <c:pt idx="26">
                  <c:v>July - 2022</c:v>
                </c:pt>
                <c:pt idx="27">
                  <c:v>August - 2022</c:v>
                </c:pt>
                <c:pt idx="28">
                  <c:v>September - 2022</c:v>
                </c:pt>
                <c:pt idx="29">
                  <c:v>October - 2022</c:v>
                </c:pt>
                <c:pt idx="30">
                  <c:v>May - 2024</c:v>
                </c:pt>
              </c:strCache>
            </c:strRef>
          </c:cat>
          <c:val>
            <c:numRef>
              <c:f>'Graphical Analysis'!$X$7:$X$37</c:f>
              <c:numCache>
                <c:formatCode>0</c:formatCode>
                <c:ptCount val="31"/>
                <c:pt idx="0">
                  <c:v>28362.659523809529</c:v>
                </c:pt>
                <c:pt idx="1">
                  <c:v>29194.719999999994</c:v>
                </c:pt>
                <c:pt idx="2">
                  <c:v>30270.997368421064</c:v>
                </c:pt>
                <c:pt idx="3">
                  <c:v>29770.002272727274</c:v>
                </c:pt>
                <c:pt idx="4">
                  <c:v>26407.204761904763</c:v>
                </c:pt>
                <c:pt idx="5">
                  <c:v>28622.122222222224</c:v>
                </c:pt>
                <c:pt idx="6">
                  <c:v>27325.952631578948</c:v>
                </c:pt>
                <c:pt idx="7">
                  <c:v>29321.377272727281</c:v>
                </c:pt>
                <c:pt idx="8">
                  <c:v>30898.141304347821</c:v>
                </c:pt>
                <c:pt idx="9">
                  <c:v>31371.952380952385</c:v>
                </c:pt>
                <c:pt idx="10">
                  <c:v>30357.520454545451</c:v>
                </c:pt>
                <c:pt idx="11">
                  <c:v>29896.428571428572</c:v>
                </c:pt>
                <c:pt idx="12">
                  <c:v>30877.464999999997</c:v>
                </c:pt>
                <c:pt idx="13">
                  <c:v>33507.277272727275</c:v>
                </c:pt>
                <c:pt idx="14">
                  <c:v>34378.557499999995</c:v>
                </c:pt>
                <c:pt idx="15">
                  <c:v>33694.377500000002</c:v>
                </c:pt>
                <c:pt idx="16">
                  <c:v>33602.459523809528</c:v>
                </c:pt>
                <c:pt idx="17">
                  <c:v>34415.007894736846</c:v>
                </c:pt>
                <c:pt idx="18">
                  <c:v>40670.447619047613</c:v>
                </c:pt>
                <c:pt idx="19">
                  <c:v>38528.662499999991</c:v>
                </c:pt>
                <c:pt idx="20">
                  <c:v>37278.6875</c:v>
                </c:pt>
                <c:pt idx="21">
                  <c:v>36448.315000000002</c:v>
                </c:pt>
                <c:pt idx="22">
                  <c:v>35485.454761904752</c:v>
                </c:pt>
                <c:pt idx="23">
                  <c:v>37788.928947368426</c:v>
                </c:pt>
                <c:pt idx="24">
                  <c:v>37639.433333333349</c:v>
                </c:pt>
                <c:pt idx="25">
                  <c:v>37496.906818181822</c:v>
                </c:pt>
                <c:pt idx="26">
                  <c:v>41246.288095238095</c:v>
                </c:pt>
                <c:pt idx="27">
                  <c:v>42916.805</c:v>
                </c:pt>
                <c:pt idx="28">
                  <c:v>44010.55909090909</c:v>
                </c:pt>
                <c:pt idx="29">
                  <c:v>43708.039473684214</c:v>
                </c:pt>
                <c:pt idx="30">
                  <c:v>55058.931818181816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614-4BBF-AC9B-22AE163029D8}"/>
            </c:ext>
          </c:extLst>
        </c:ser>
        <c:ser>
          <c:idx val="2"/>
          <c:order val="2"/>
          <c:tx>
            <c:strRef>
              <c:f>'Graphical Analysis'!$Y$6</c:f>
              <c:strCache>
                <c:ptCount val="1"/>
                <c:pt idx="0">
                  <c:v>Nifty_Metal</c:v>
                </c:pt>
              </c:strCache>
            </c:strRef>
          </c:tx>
          <c:spPr>
            <a:ln w="9525" cap="rnd">
              <a:solidFill>
                <a:srgbClr val="92D050"/>
              </a:solidFill>
            </a:ln>
            <a:effectLst>
              <a:glow rad="101600">
                <a:schemeClr val="accent6">
                  <a:satMod val="175000"/>
                  <a:alpha val="40000"/>
                </a:schemeClr>
              </a:glow>
            </a:effectLst>
          </c:spPr>
          <c:marker>
            <c:symbol val="none"/>
          </c:marker>
          <c:cat>
            <c:strRef>
              <c:f>'Graphical Analysis'!$V$7:$V$37</c:f>
              <c:strCache>
                <c:ptCount val="31"/>
                <c:pt idx="0">
                  <c:v>October - 2018</c:v>
                </c:pt>
                <c:pt idx="1">
                  <c:v>November - 2018</c:v>
                </c:pt>
                <c:pt idx="2">
                  <c:v>April - 2019</c:v>
                </c:pt>
                <c:pt idx="3">
                  <c:v>May - 2019</c:v>
                </c:pt>
                <c:pt idx="4">
                  <c:v>March - 2020</c:v>
                </c:pt>
                <c:pt idx="5">
                  <c:v>April - 2020</c:v>
                </c:pt>
                <c:pt idx="6">
                  <c:v>May - 2020</c:v>
                </c:pt>
                <c:pt idx="7">
                  <c:v>June - 2020</c:v>
                </c:pt>
                <c:pt idx="8">
                  <c:v>July - 2020</c:v>
                </c:pt>
                <c:pt idx="9">
                  <c:v>August - 2020</c:v>
                </c:pt>
                <c:pt idx="10">
                  <c:v>September - 2020</c:v>
                </c:pt>
                <c:pt idx="11">
                  <c:v>October - 2020</c:v>
                </c:pt>
                <c:pt idx="12">
                  <c:v>November - 2020</c:v>
                </c:pt>
                <c:pt idx="13">
                  <c:v>December - 2020</c:v>
                </c:pt>
                <c:pt idx="14">
                  <c:v>January - 2021</c:v>
                </c:pt>
                <c:pt idx="15">
                  <c:v>February - 2021</c:v>
                </c:pt>
                <c:pt idx="16">
                  <c:v>March - 2021</c:v>
                </c:pt>
                <c:pt idx="17">
                  <c:v>April - 2021</c:v>
                </c:pt>
                <c:pt idx="18">
                  <c:v>September - 2021</c:v>
                </c:pt>
                <c:pt idx="19">
                  <c:v>November - 2021</c:v>
                </c:pt>
                <c:pt idx="20">
                  <c:v>January - 2022</c:v>
                </c:pt>
                <c:pt idx="21">
                  <c:v>February - 2022</c:v>
                </c:pt>
                <c:pt idx="22">
                  <c:v>March - 2022</c:v>
                </c:pt>
                <c:pt idx="23">
                  <c:v>April - 2022</c:v>
                </c:pt>
                <c:pt idx="24">
                  <c:v>May - 2022</c:v>
                </c:pt>
                <c:pt idx="25">
                  <c:v>June - 2022</c:v>
                </c:pt>
                <c:pt idx="26">
                  <c:v>July - 2022</c:v>
                </c:pt>
                <c:pt idx="27">
                  <c:v>August - 2022</c:v>
                </c:pt>
                <c:pt idx="28">
                  <c:v>September - 2022</c:v>
                </c:pt>
                <c:pt idx="29">
                  <c:v>October - 2022</c:v>
                </c:pt>
                <c:pt idx="30">
                  <c:v>May - 2024</c:v>
                </c:pt>
              </c:strCache>
            </c:strRef>
          </c:cat>
          <c:val>
            <c:numRef>
              <c:f>'Graphical Analysis'!$Y$7:$Y$37</c:f>
              <c:numCache>
                <c:formatCode>0</c:formatCode>
                <c:ptCount val="31"/>
                <c:pt idx="0">
                  <c:v>3390.8095238095239</c:v>
                </c:pt>
                <c:pt idx="1">
                  <c:v>3322.6875</c:v>
                </c:pt>
                <c:pt idx="2">
                  <c:v>3085.8973684210523</c:v>
                </c:pt>
                <c:pt idx="3">
                  <c:v>2910.693181818182</c:v>
                </c:pt>
                <c:pt idx="4">
                  <c:v>1814.5761904761905</c:v>
                </c:pt>
                <c:pt idx="5">
                  <c:v>1693.3083333333334</c:v>
                </c:pt>
                <c:pt idx="6">
                  <c:v>1732.8973684210528</c:v>
                </c:pt>
                <c:pt idx="7">
                  <c:v>1997.1386363636361</c:v>
                </c:pt>
                <c:pt idx="8">
                  <c:v>2084.9456521739135</c:v>
                </c:pt>
                <c:pt idx="9">
                  <c:v>2411.0047619047623</c:v>
                </c:pt>
                <c:pt idx="10">
                  <c:v>2345.1772727272723</c:v>
                </c:pt>
                <c:pt idx="11">
                  <c:v>2319.6976190476184</c:v>
                </c:pt>
                <c:pt idx="12">
                  <c:v>2661.915</c:v>
                </c:pt>
                <c:pt idx="13">
                  <c:v>3153.4795454545456</c:v>
                </c:pt>
                <c:pt idx="14">
                  <c:v>3368.6875</c:v>
                </c:pt>
                <c:pt idx="15">
                  <c:v>3550.16</c:v>
                </c:pt>
                <c:pt idx="16">
                  <c:v>3864.4928571428572</c:v>
                </c:pt>
                <c:pt idx="17">
                  <c:v>4450.4026315789461</c:v>
                </c:pt>
                <c:pt idx="18">
                  <c:v>5649.5714285714294</c:v>
                </c:pt>
                <c:pt idx="19">
                  <c:v>5583.1949999999997</c:v>
                </c:pt>
                <c:pt idx="20">
                  <c:v>5665.7300000000014</c:v>
                </c:pt>
                <c:pt idx="21">
                  <c:v>5775.2224999999999</c:v>
                </c:pt>
                <c:pt idx="22">
                  <c:v>6248.4809523809527</c:v>
                </c:pt>
                <c:pt idx="23">
                  <c:v>6537.7684210526313</c:v>
                </c:pt>
                <c:pt idx="24">
                  <c:v>5582.7214285714281</c:v>
                </c:pt>
                <c:pt idx="25">
                  <c:v>4943.8136363636359</c:v>
                </c:pt>
                <c:pt idx="26">
                  <c:v>4955.9595238095226</c:v>
                </c:pt>
                <c:pt idx="27">
                  <c:v>5770.2225000000008</c:v>
                </c:pt>
                <c:pt idx="28">
                  <c:v>5994.3909090909083</c:v>
                </c:pt>
                <c:pt idx="29">
                  <c:v>5813.0421052631573</c:v>
                </c:pt>
                <c:pt idx="30">
                  <c:v>9482.1590909090901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614-4BBF-AC9B-22AE16302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9493087"/>
        <c:axId val="1939493567"/>
      </c:lineChart>
      <c:catAx>
        <c:axId val="1939493087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39493567"/>
        <c:crosses val="autoZero"/>
        <c:auto val="1"/>
        <c:lblAlgn val="ctr"/>
        <c:lblOffset val="100"/>
        <c:noMultiLvlLbl val="0"/>
      </c:catAx>
      <c:valAx>
        <c:axId val="193949356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493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1"/>
    </a:solidFill>
    <a:ln w="6350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'Graphical Analysis'!$AA$8</c:f>
              <c:strCache>
                <c:ptCount val="1"/>
                <c:pt idx="0">
                  <c:v>Metal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'Graphical Analysis'!$AB$7</c:f>
              <c:strCache>
                <c:ptCount val="1"/>
                <c:pt idx="0">
                  <c:v>Rank</c:v>
                </c:pt>
              </c:strCache>
            </c:strRef>
          </c:cat>
          <c:val>
            <c:numRef>
              <c:f>'Graphical Analysis'!$AB$8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E3-42D4-8831-3090786E11BD}"/>
            </c:ext>
          </c:extLst>
        </c:ser>
        <c:ser>
          <c:idx val="1"/>
          <c:order val="1"/>
          <c:tx>
            <c:strRef>
              <c:f>'Graphical Analysis'!$AA$9</c:f>
              <c:strCache>
                <c:ptCount val="1"/>
                <c:pt idx="0">
                  <c:v>Auto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'Graphical Analysis'!$AB$7</c:f>
              <c:strCache>
                <c:ptCount val="1"/>
                <c:pt idx="0">
                  <c:v>Rank</c:v>
                </c:pt>
              </c:strCache>
            </c:strRef>
          </c:cat>
          <c:val>
            <c:numRef>
              <c:f>'Graphical Analysis'!$AB$9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E3-42D4-8831-3090786E11BD}"/>
            </c:ext>
          </c:extLst>
        </c:ser>
        <c:ser>
          <c:idx val="2"/>
          <c:order val="2"/>
          <c:tx>
            <c:strRef>
              <c:f>'Graphical Analysis'!$AA$10</c:f>
              <c:strCache>
                <c:ptCount val="1"/>
                <c:pt idx="0">
                  <c:v>Bank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'Graphical Analysis'!$AB$7</c:f>
              <c:strCache>
                <c:ptCount val="1"/>
                <c:pt idx="0">
                  <c:v>Rank</c:v>
                </c:pt>
              </c:strCache>
            </c:strRef>
          </c:cat>
          <c:val>
            <c:numRef>
              <c:f>'Graphical Analysis'!$AB$10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E3-42D4-8831-3090786E11BD}"/>
            </c:ext>
          </c:extLst>
        </c:ser>
        <c:ser>
          <c:idx val="3"/>
          <c:order val="3"/>
          <c:tx>
            <c:strRef>
              <c:f>'Graphical Analysis'!$AA$11</c:f>
              <c:strCache>
                <c:ptCount val="1"/>
                <c:pt idx="0">
                  <c:v>IT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'Graphical Analysis'!$AB$7</c:f>
              <c:strCache>
                <c:ptCount val="1"/>
                <c:pt idx="0">
                  <c:v>Rank</c:v>
                </c:pt>
              </c:strCache>
            </c:strRef>
          </c:cat>
          <c:val>
            <c:numRef>
              <c:f>'Graphical Analysis'!$AB$11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E3-42D4-8831-3090786E11BD}"/>
            </c:ext>
          </c:extLst>
        </c:ser>
        <c:ser>
          <c:idx val="4"/>
          <c:order val="4"/>
          <c:tx>
            <c:strRef>
              <c:f>'Graphical Analysis'!$AA$12</c:f>
              <c:strCache>
                <c:ptCount val="1"/>
                <c:pt idx="0">
                  <c:v>Pharma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'Graphical Analysis'!$AB$7</c:f>
              <c:strCache>
                <c:ptCount val="1"/>
                <c:pt idx="0">
                  <c:v>Rank</c:v>
                </c:pt>
              </c:strCache>
            </c:strRef>
          </c:cat>
          <c:val>
            <c:numRef>
              <c:f>'Graphical Analysis'!$AB$12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E3-42D4-8831-3090786E11BD}"/>
            </c:ext>
          </c:extLst>
        </c:ser>
        <c:ser>
          <c:idx val="5"/>
          <c:order val="5"/>
          <c:tx>
            <c:strRef>
              <c:f>'Graphical Analysis'!$AA$13</c:f>
              <c:strCache>
                <c:ptCount val="1"/>
                <c:pt idx="0">
                  <c:v>FMCG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'Graphical Analysis'!$AB$7</c:f>
              <c:strCache>
                <c:ptCount val="1"/>
                <c:pt idx="0">
                  <c:v>Rank</c:v>
                </c:pt>
              </c:strCache>
            </c:strRef>
          </c:cat>
          <c:val>
            <c:numRef>
              <c:f>'Graphical Analysis'!$AB$13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4E3-42D4-8831-3090786E11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83680351"/>
        <c:axId val="1883679391"/>
        <c:axId val="0"/>
      </c:bar3DChart>
      <c:catAx>
        <c:axId val="1883680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679391"/>
        <c:crosses val="autoZero"/>
        <c:auto val="1"/>
        <c:lblAlgn val="ctr"/>
        <c:lblOffset val="100"/>
        <c:noMultiLvlLbl val="0"/>
      </c:catAx>
      <c:valAx>
        <c:axId val="1883679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680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1"/>
    </a:solidFill>
    <a:ln>
      <a:noFill/>
    </a:ln>
    <a:effectLst/>
  </c:spPr>
  <c:txPr>
    <a:bodyPr/>
    <a:lstStyle/>
    <a:p>
      <a:pPr>
        <a:defRPr b="1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601980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C8F767-7653-453E-9D2F-29EC0A7292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21167</xdr:colOff>
      <xdr:row>40</xdr:row>
      <xdr:rowOff>127001</xdr:rowOff>
    </xdr:from>
    <xdr:to>
      <xdr:col>9</xdr:col>
      <xdr:colOff>391583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124262-2728-406C-9402-07C55F6645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586740</xdr:colOff>
      <xdr:row>1</xdr:row>
      <xdr:rowOff>0</xdr:rowOff>
    </xdr:from>
    <xdr:to>
      <xdr:col>17</xdr:col>
      <xdr:colOff>7620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19E10C-A8F6-4CCC-B416-34E59CAEA4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603249</xdr:colOff>
      <xdr:row>15</xdr:row>
      <xdr:rowOff>179915</xdr:rowOff>
    </xdr:from>
    <xdr:to>
      <xdr:col>17</xdr:col>
      <xdr:colOff>-1</xdr:colOff>
      <xdr:row>40</xdr:row>
      <xdr:rowOff>144778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7D287C9-334A-4738-B1CC-FEADE98F47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391583</xdr:colOff>
      <xdr:row>40</xdr:row>
      <xdr:rowOff>127000</xdr:rowOff>
    </xdr:from>
    <xdr:to>
      <xdr:col>16</xdr:col>
      <xdr:colOff>603250</xdr:colOff>
      <xdr:row>59</xdr:row>
      <xdr:rowOff>169334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2F8497E-2CED-4187-B6B2-F3D65B9383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067D97-1353-4A91-A4E4-E272E23AFA06}" name="Table2" displayName="Table2" ref="A1:J85" totalsRowShown="0">
  <autoFilter ref="A1:J85" xr:uid="{25067D97-1353-4A91-A4E4-E272E23AFA06}">
    <filterColumn colId="8">
      <filters>
        <filter val="Uncertainity"/>
      </filters>
    </filterColumn>
  </autoFilter>
  <tableColumns count="10">
    <tableColumn id="1" xr3:uid="{28362B0E-195D-41A3-92A5-6AC6CDC0181D}" name="Month" dataDxfId="9"/>
    <tableColumn id="2" xr3:uid="{F17442DC-696C-4440-AD77-C7EE4BDDDE1A}" name="Nifty_Auto" dataDxfId="8"/>
    <tableColumn id="3" xr3:uid="{94D348B1-931B-4BE4-AB28-CDC908561688}" name="Nifty_Bank" dataDxfId="7"/>
    <tableColumn id="4" xr3:uid="{8580B6D1-2FF2-4940-B312-6E311420E847}" name="Nifty_IT" dataDxfId="6"/>
    <tableColumn id="5" xr3:uid="{9B02FD03-C634-403A-9CD4-23A03B170BC0}" name="Nifty_Pharma" dataDxfId="5"/>
    <tableColumn id="6" xr3:uid="{20EC1B9C-DEDC-4897-8B3F-29D207AF7652}" name="Nifty_FMCG" dataDxfId="4"/>
    <tableColumn id="7" xr3:uid="{63C4A4C0-8E68-4E9F-B4F5-7CD5135503CB}" name="Nifty_Metal" dataDxfId="3"/>
    <tableColumn id="8" xr3:uid="{F7DDB754-8ACD-4C3B-8F55-29A197DCC814}" name="VIX" dataDxfId="2"/>
    <tableColumn id="9" xr3:uid="{F707A9C3-CA49-434A-8F0D-8F378E4429EE}" name="Uncertainity Period" dataDxfId="1">
      <calculatedColumnFormula>IF(H2&gt;(AVERAGE($H$3:$H$86) ), "Uncertainity","Normal")</calculatedColumnFormula>
    </tableColumn>
    <tableColumn id="10" xr3:uid="{393F93B9-2173-4A15-A01B-17E374F21998}" name="Column1" dataDxfId="0">
      <calculatedColumnFormula>IF(Table2[[#This Row],[VIX]]&gt;(AVERAGE(Table2[VIX]) ), 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9CD9A-EE9F-4ED8-9BA6-891002F0C516}">
  <dimension ref="A1:G85"/>
  <sheetViews>
    <sheetView workbookViewId="0">
      <selection activeCell="C74" sqref="A1:G85"/>
    </sheetView>
  </sheetViews>
  <sheetFormatPr defaultRowHeight="14.4" x14ac:dyDescent="0.3"/>
  <cols>
    <col min="1" max="1" width="15.44140625" bestFit="1" customWidth="1"/>
    <col min="2" max="2" width="10.21875" bestFit="1" customWidth="1"/>
    <col min="3" max="3" width="10.33203125" bestFit="1" customWidth="1"/>
    <col min="4" max="4" width="7.6640625" bestFit="1" customWidth="1"/>
    <col min="5" max="5" width="12.6640625" bestFit="1" customWidth="1"/>
    <col min="6" max="6" width="11.109375" bestFit="1" customWidth="1"/>
    <col min="7" max="7" width="11" bestFit="1" customWidth="1"/>
  </cols>
  <sheetData>
    <row r="1" spans="1:7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 t="s">
        <v>7</v>
      </c>
      <c r="B2" s="4">
        <v>11771.863636363636</v>
      </c>
      <c r="C2" s="4">
        <v>26302.254545454543</v>
      </c>
      <c r="D2" s="4">
        <v>12345.977272727272</v>
      </c>
      <c r="E2" s="4">
        <v>9762.4045454545449</v>
      </c>
      <c r="F2" s="4">
        <v>27212.922727272726</v>
      </c>
      <c r="G2" s="4">
        <v>4096.0477272727276</v>
      </c>
    </row>
    <row r="3" spans="1:7" x14ac:dyDescent="0.3">
      <c r="A3" s="3" t="s">
        <v>8</v>
      </c>
      <c r="B3" s="4">
        <v>11191.047368421054</v>
      </c>
      <c r="C3" s="4">
        <v>25556.502631578951</v>
      </c>
      <c r="D3" s="4">
        <v>12628.915789473684</v>
      </c>
      <c r="E3" s="4">
        <v>9178.9394736842096</v>
      </c>
      <c r="F3" s="4">
        <v>26720.989473684207</v>
      </c>
      <c r="G3" s="4">
        <v>3976.1763157894734</v>
      </c>
    </row>
    <row r="4" spans="1:7" x14ac:dyDescent="0.3">
      <c r="A4" s="3" t="s">
        <v>9</v>
      </c>
      <c r="B4" s="4">
        <v>10889.752631578949</v>
      </c>
      <c r="C4" s="4">
        <v>24422.971052631583</v>
      </c>
      <c r="D4" s="4">
        <v>12658.276315789475</v>
      </c>
      <c r="E4" s="4">
        <v>8679.2052631578936</v>
      </c>
      <c r="F4" s="4">
        <v>26184.849999999995</v>
      </c>
      <c r="G4" s="4">
        <v>3675.8868421052625</v>
      </c>
    </row>
    <row r="5" spans="1:7" x14ac:dyDescent="0.3">
      <c r="A5" s="3" t="s">
        <v>10</v>
      </c>
      <c r="B5" s="4">
        <v>11429.723809523808</v>
      </c>
      <c r="C5" s="4">
        <v>24999.902380952379</v>
      </c>
      <c r="D5" s="4">
        <v>13215.090476190477</v>
      </c>
      <c r="E5" s="4">
        <v>8862.9452380952371</v>
      </c>
      <c r="F5" s="4">
        <v>27480.978571428575</v>
      </c>
      <c r="G5" s="4">
        <v>3710.5976190476199</v>
      </c>
    </row>
    <row r="6" spans="1:7" x14ac:dyDescent="0.3">
      <c r="A6" s="3" t="s">
        <v>11</v>
      </c>
      <c r="B6" s="4">
        <v>11147.31590909091</v>
      </c>
      <c r="C6" s="4">
        <v>26099.893181818188</v>
      </c>
      <c r="D6" s="4">
        <v>13524.504545454547</v>
      </c>
      <c r="E6" s="4">
        <v>8560.6863636363632</v>
      </c>
      <c r="F6" s="4">
        <v>28569.118181818179</v>
      </c>
      <c r="G6" s="4">
        <v>3628.7704545454549</v>
      </c>
    </row>
    <row r="7" spans="1:7" x14ac:dyDescent="0.3">
      <c r="A7" s="3" t="s">
        <v>12</v>
      </c>
      <c r="B7" s="4">
        <v>11057.300000000003</v>
      </c>
      <c r="C7" s="4">
        <v>26478.159523809521</v>
      </c>
      <c r="D7" s="4">
        <v>13813.552380952377</v>
      </c>
      <c r="E7" s="4">
        <v>8993.1999999999989</v>
      </c>
      <c r="F7" s="4">
        <v>28671.88571428572</v>
      </c>
      <c r="G7" s="4">
        <v>3514.4452380952371</v>
      </c>
    </row>
    <row r="8" spans="1:7" x14ac:dyDescent="0.3">
      <c r="A8" s="3" t="s">
        <v>13</v>
      </c>
      <c r="B8" s="4">
        <v>10911.03409090909</v>
      </c>
      <c r="C8" s="4">
        <v>26917.50454545454</v>
      </c>
      <c r="D8" s="4">
        <v>14422.772727272728</v>
      </c>
      <c r="E8" s="4">
        <v>9184.5136363636375</v>
      </c>
      <c r="F8" s="4">
        <v>29691.981818181815</v>
      </c>
      <c r="G8" s="4">
        <v>3272.0136363636357</v>
      </c>
    </row>
    <row r="9" spans="1:7" x14ac:dyDescent="0.3">
      <c r="A9" s="3" t="s">
        <v>14</v>
      </c>
      <c r="B9" s="4">
        <v>10893.947619047618</v>
      </c>
      <c r="C9" s="4">
        <v>28000.859523809522</v>
      </c>
      <c r="D9" s="4">
        <v>15034.68095238095</v>
      </c>
      <c r="E9" s="4">
        <v>9759.476190476189</v>
      </c>
      <c r="F9" s="4">
        <v>31925.004761904762</v>
      </c>
      <c r="G9" s="4">
        <v>3463.721428571429</v>
      </c>
    </row>
    <row r="10" spans="1:7" x14ac:dyDescent="0.3">
      <c r="A10" s="3" t="s">
        <v>15</v>
      </c>
      <c r="B10" s="4">
        <v>10505.508333333331</v>
      </c>
      <c r="C10" s="4">
        <v>26474.652777777777</v>
      </c>
      <c r="D10" s="4">
        <v>16026.202777777777</v>
      </c>
      <c r="E10" s="4">
        <v>10518.836111111112</v>
      </c>
      <c r="F10" s="4">
        <v>30624.961111111108</v>
      </c>
      <c r="G10" s="4">
        <v>3643.8222222222216</v>
      </c>
    </row>
    <row r="11" spans="1:7" x14ac:dyDescent="0.3">
      <c r="A11" s="3" t="s">
        <v>16</v>
      </c>
      <c r="B11" s="4">
        <v>8893.75476190476</v>
      </c>
      <c r="C11" s="4">
        <v>24993.985714285711</v>
      </c>
      <c r="D11" s="4">
        <v>14813.847619047618</v>
      </c>
      <c r="E11" s="4">
        <v>9730.6261904761905</v>
      </c>
      <c r="F11" s="4">
        <v>28362.659523809529</v>
      </c>
      <c r="G11" s="4">
        <v>3390.8095238095239</v>
      </c>
    </row>
    <row r="12" spans="1:7" x14ac:dyDescent="0.3">
      <c r="A12" s="3" t="s">
        <v>17</v>
      </c>
      <c r="B12" s="4">
        <v>9132.0974999999999</v>
      </c>
      <c r="C12" s="4">
        <v>26062.377500000006</v>
      </c>
      <c r="D12" s="4">
        <v>14419.825000000001</v>
      </c>
      <c r="E12" s="4">
        <v>9452.2124999999996</v>
      </c>
      <c r="F12" s="4">
        <v>29194.719999999994</v>
      </c>
      <c r="G12" s="4">
        <v>3322.6875</v>
      </c>
    </row>
    <row r="13" spans="1:7" x14ac:dyDescent="0.3">
      <c r="A13" s="3" t="s">
        <v>18</v>
      </c>
      <c r="B13" s="4">
        <v>9181.8050000000003</v>
      </c>
      <c r="C13" s="4">
        <v>26795.75</v>
      </c>
      <c r="D13" s="4">
        <v>14603.630000000001</v>
      </c>
      <c r="E13" s="4">
        <v>8874.9675000000025</v>
      </c>
      <c r="F13" s="4">
        <v>30182.837500000001</v>
      </c>
      <c r="G13" s="4">
        <v>3133.0150000000003</v>
      </c>
    </row>
    <row r="14" spans="1:7" x14ac:dyDescent="0.3">
      <c r="A14" s="3" t="s">
        <v>19</v>
      </c>
      <c r="B14" s="4">
        <v>8687.1152173913051</v>
      </c>
      <c r="C14" s="4">
        <v>27276.204347826086</v>
      </c>
      <c r="D14" s="4">
        <v>14700.771739130438</v>
      </c>
      <c r="E14" s="4">
        <v>8918.1630434782601</v>
      </c>
      <c r="F14" s="4">
        <v>30294.445652173901</v>
      </c>
      <c r="G14" s="4">
        <v>2947.5195652173911</v>
      </c>
    </row>
    <row r="15" spans="1:7" x14ac:dyDescent="0.3">
      <c r="A15" s="3" t="s">
        <v>20</v>
      </c>
      <c r="B15" s="4">
        <v>8320.2724999999991</v>
      </c>
      <c r="C15" s="4">
        <v>27021.644999999997</v>
      </c>
      <c r="D15" s="4">
        <v>15831.927499999996</v>
      </c>
      <c r="E15" s="4">
        <v>8893.7475000000013</v>
      </c>
      <c r="F15" s="4">
        <v>29496.792500000003</v>
      </c>
      <c r="G15" s="4">
        <v>2780.1875</v>
      </c>
    </row>
    <row r="16" spans="1:7" x14ac:dyDescent="0.3">
      <c r="A16" s="3" t="s">
        <v>21</v>
      </c>
      <c r="B16" s="4">
        <v>8530.1868421052641</v>
      </c>
      <c r="C16" s="4">
        <v>28955.702631578944</v>
      </c>
      <c r="D16" s="4">
        <v>15498.652631578949</v>
      </c>
      <c r="E16" s="4">
        <v>9231.7052631578936</v>
      </c>
      <c r="F16" s="4">
        <v>30090.557894736841</v>
      </c>
      <c r="G16" s="4">
        <v>2995.6973684210525</v>
      </c>
    </row>
    <row r="17" spans="1:7" x14ac:dyDescent="0.3">
      <c r="A17" s="3" t="s">
        <v>22</v>
      </c>
      <c r="B17" s="4">
        <v>8642.3315789473691</v>
      </c>
      <c r="C17" s="4">
        <v>29972.526315789473</v>
      </c>
      <c r="D17" s="4">
        <v>16101.181578947371</v>
      </c>
      <c r="E17" s="4">
        <v>9427.8684210526353</v>
      </c>
      <c r="F17" s="4">
        <v>30270.997368421064</v>
      </c>
      <c r="G17" s="4">
        <v>3085.8973684210523</v>
      </c>
    </row>
    <row r="18" spans="1:7" x14ac:dyDescent="0.3">
      <c r="A18" s="3" t="s">
        <v>23</v>
      </c>
      <c r="B18" s="4">
        <v>8196.363636363636</v>
      </c>
      <c r="C18" s="4">
        <v>30025.913636363635</v>
      </c>
      <c r="D18" s="4">
        <v>15909.645454545454</v>
      </c>
      <c r="E18" s="4">
        <v>8819.447727272729</v>
      </c>
      <c r="F18" s="4">
        <v>29770.002272727274</v>
      </c>
      <c r="G18" s="4">
        <v>2910.693181818182</v>
      </c>
    </row>
    <row r="19" spans="1:7" x14ac:dyDescent="0.3">
      <c r="A19" s="3" t="s">
        <v>24</v>
      </c>
      <c r="B19" s="4">
        <v>8034.4315789473694</v>
      </c>
      <c r="C19" s="4">
        <v>30916.010526315793</v>
      </c>
      <c r="D19" s="4">
        <v>16220.023684210528</v>
      </c>
      <c r="E19" s="4">
        <v>8189.9000000000005</v>
      </c>
      <c r="F19" s="4">
        <v>29862.986842105263</v>
      </c>
      <c r="G19" s="4">
        <v>2937.2605263157893</v>
      </c>
    </row>
    <row r="20" spans="1:7" x14ac:dyDescent="0.3">
      <c r="A20" s="3" t="s">
        <v>25</v>
      </c>
      <c r="B20" s="4">
        <v>7471.7673913043473</v>
      </c>
      <c r="C20" s="4">
        <v>30202.126086956523</v>
      </c>
      <c r="D20" s="4">
        <v>15526.95652173913</v>
      </c>
      <c r="E20" s="4">
        <v>8168.2869565217397</v>
      </c>
      <c r="F20" s="4">
        <v>29303.228260869564</v>
      </c>
      <c r="G20" s="4">
        <v>2789.9891304347821</v>
      </c>
    </row>
    <row r="21" spans="1:7" x14ac:dyDescent="0.3">
      <c r="A21" s="3" t="s">
        <v>26</v>
      </c>
      <c r="B21" s="4">
        <v>6966.2124999999996</v>
      </c>
      <c r="C21" s="4">
        <v>27847.3675</v>
      </c>
      <c r="D21" s="4">
        <v>15634.809999999998</v>
      </c>
      <c r="E21" s="4">
        <v>7897.5325000000012</v>
      </c>
      <c r="F21" s="4">
        <v>28810.324999999993</v>
      </c>
      <c r="G21" s="4">
        <v>2352.2025000000003</v>
      </c>
    </row>
    <row r="22" spans="1:7" x14ac:dyDescent="0.3">
      <c r="A22" s="3" t="s">
        <v>27</v>
      </c>
      <c r="B22" s="4">
        <v>7292.1578947368425</v>
      </c>
      <c r="C22" s="4">
        <v>28238.423684210527</v>
      </c>
      <c r="D22" s="4">
        <v>15628.602631578942</v>
      </c>
      <c r="E22" s="4">
        <v>8019.5184210526304</v>
      </c>
      <c r="F22" s="4">
        <v>29513.755263157895</v>
      </c>
      <c r="G22" s="4">
        <v>2405.2447368421049</v>
      </c>
    </row>
    <row r="23" spans="1:7" x14ac:dyDescent="0.3">
      <c r="A23" s="3" t="s">
        <v>28</v>
      </c>
      <c r="B23" s="4">
        <v>7804.9475000000002</v>
      </c>
      <c r="C23" s="4">
        <v>28884.204999999998</v>
      </c>
      <c r="D23" s="4">
        <v>15176.397499999997</v>
      </c>
      <c r="E23" s="4">
        <v>7597.7624999999998</v>
      </c>
      <c r="F23" s="4">
        <v>31178.340000000004</v>
      </c>
      <c r="G23" s="4">
        <v>2395.3374999999996</v>
      </c>
    </row>
    <row r="24" spans="1:7" x14ac:dyDescent="0.3">
      <c r="A24" s="3" t="s">
        <v>29</v>
      </c>
      <c r="B24" s="4">
        <v>8165.0699999999979</v>
      </c>
      <c r="C24" s="4">
        <v>31077.705000000005</v>
      </c>
      <c r="D24" s="4">
        <v>15289.347499999998</v>
      </c>
      <c r="E24" s="4">
        <v>8038.3974999999991</v>
      </c>
      <c r="F24" s="4">
        <v>31529.499999999993</v>
      </c>
      <c r="G24" s="4">
        <v>2577.0149999999999</v>
      </c>
    </row>
    <row r="25" spans="1:7" x14ac:dyDescent="0.3">
      <c r="A25" s="3" t="s">
        <v>30</v>
      </c>
      <c r="B25" s="4">
        <v>8042.4214285714279</v>
      </c>
      <c r="C25" s="4">
        <v>31926.85476190476</v>
      </c>
      <c r="D25" s="4">
        <v>15424.971428571427</v>
      </c>
      <c r="E25" s="4">
        <v>8096.6142857142859</v>
      </c>
      <c r="F25" s="4">
        <v>30334.511904761912</v>
      </c>
      <c r="G25" s="4">
        <v>2643.9571428571426</v>
      </c>
    </row>
    <row r="26" spans="1:7" x14ac:dyDescent="0.3">
      <c r="A26" s="3" t="s">
        <v>31</v>
      </c>
      <c r="B26" s="4">
        <v>8211.8000000000011</v>
      </c>
      <c r="C26" s="4">
        <v>31446.391304347835</v>
      </c>
      <c r="D26" s="4">
        <v>16177.997826086958</v>
      </c>
      <c r="E26" s="4">
        <v>8254.1456521739128</v>
      </c>
      <c r="F26" s="4">
        <v>30791.56739130435</v>
      </c>
      <c r="G26" s="4">
        <v>2786.9630434782612</v>
      </c>
    </row>
    <row r="27" spans="1:7" x14ac:dyDescent="0.3">
      <c r="A27" s="3" t="s">
        <v>32</v>
      </c>
      <c r="B27" s="4">
        <v>7733.2824999999984</v>
      </c>
      <c r="C27" s="4">
        <v>30675.427500000002</v>
      </c>
      <c r="D27" s="4">
        <v>16411.647499999999</v>
      </c>
      <c r="E27" s="4">
        <v>8234.0875000000015</v>
      </c>
      <c r="F27" s="4">
        <v>30468.122500000005</v>
      </c>
      <c r="G27" s="4">
        <v>2561.8450000000003</v>
      </c>
    </row>
    <row r="28" spans="1:7" x14ac:dyDescent="0.3">
      <c r="A28" s="3" t="s">
        <v>33</v>
      </c>
      <c r="B28" s="4">
        <v>5781.8238095238084</v>
      </c>
      <c r="C28" s="4">
        <v>22936.040476190479</v>
      </c>
      <c r="D28" s="4">
        <v>13356.3</v>
      </c>
      <c r="E28" s="4">
        <v>7396.2095238095253</v>
      </c>
      <c r="F28" s="4">
        <v>26407.204761904763</v>
      </c>
      <c r="G28" s="4">
        <v>1814.5761904761905</v>
      </c>
    </row>
    <row r="29" spans="1:7" x14ac:dyDescent="0.3">
      <c r="A29" s="3" t="s">
        <v>34</v>
      </c>
      <c r="B29" s="4">
        <v>5335.9111111111115</v>
      </c>
      <c r="C29" s="4">
        <v>19715.116666666665</v>
      </c>
      <c r="D29" s="4">
        <v>12750.766666666666</v>
      </c>
      <c r="E29" s="4">
        <v>9097.2527777777796</v>
      </c>
      <c r="F29" s="4">
        <v>28622.122222222224</v>
      </c>
      <c r="G29" s="4">
        <v>1693.3083333333334</v>
      </c>
    </row>
    <row r="30" spans="1:7" x14ac:dyDescent="0.3">
      <c r="A30" s="3" t="s">
        <v>35</v>
      </c>
      <c r="B30" s="4">
        <v>5702.6052631578941</v>
      </c>
      <c r="C30" s="4">
        <v>18707.215789473685</v>
      </c>
      <c r="D30" s="4">
        <v>13569.336842105264</v>
      </c>
      <c r="E30" s="4">
        <v>9443.1026315789477</v>
      </c>
      <c r="F30" s="4">
        <v>27325.952631578948</v>
      </c>
      <c r="G30" s="4">
        <v>1732.8973684210528</v>
      </c>
    </row>
    <row r="31" spans="1:7" x14ac:dyDescent="0.3">
      <c r="A31" s="3" t="s">
        <v>36</v>
      </c>
      <c r="B31" s="4">
        <v>6582.5818181818177</v>
      </c>
      <c r="C31" s="4">
        <v>20953.67954545455</v>
      </c>
      <c r="D31" s="4">
        <v>14585.154545454547</v>
      </c>
      <c r="E31" s="4">
        <v>10161.393181818181</v>
      </c>
      <c r="F31" s="4">
        <v>29321.377272727281</v>
      </c>
      <c r="G31" s="4">
        <v>1997.1386363636361</v>
      </c>
    </row>
    <row r="32" spans="1:7" x14ac:dyDescent="0.3">
      <c r="A32" s="3" t="s">
        <v>37</v>
      </c>
      <c r="B32" s="4">
        <v>7127.619565217391</v>
      </c>
      <c r="C32" s="4">
        <v>22171.15</v>
      </c>
      <c r="D32" s="4">
        <v>16532.015217391305</v>
      </c>
      <c r="E32" s="4">
        <v>10293.669565217393</v>
      </c>
      <c r="F32" s="4">
        <v>30898.141304347821</v>
      </c>
      <c r="G32" s="4">
        <v>2084.9456521739135</v>
      </c>
    </row>
    <row r="33" spans="1:7" x14ac:dyDescent="0.3">
      <c r="A33" s="3" t="s">
        <v>38</v>
      </c>
      <c r="B33" s="4">
        <v>7785.3738095238114</v>
      </c>
      <c r="C33" s="4">
        <v>22352.885714285712</v>
      </c>
      <c r="D33" s="4">
        <v>18067.207142857143</v>
      </c>
      <c r="E33" s="4">
        <v>11663.678571428572</v>
      </c>
      <c r="F33" s="4">
        <v>31371.952380952385</v>
      </c>
      <c r="G33" s="4">
        <v>2411.0047619047623</v>
      </c>
    </row>
    <row r="34" spans="1:7" x14ac:dyDescent="0.3">
      <c r="A34" s="3" t="s">
        <v>39</v>
      </c>
      <c r="B34" s="4">
        <v>7914.4409090909094</v>
      </c>
      <c r="C34" s="4">
        <v>22194.343181818178</v>
      </c>
      <c r="D34" s="4">
        <v>19104.24090909091</v>
      </c>
      <c r="E34" s="4">
        <v>11708.975000000002</v>
      </c>
      <c r="F34" s="4">
        <v>30357.520454545451</v>
      </c>
      <c r="G34" s="4">
        <v>2345.1772727272723</v>
      </c>
    </row>
    <row r="35" spans="1:7" x14ac:dyDescent="0.3">
      <c r="A35" s="3" t="s">
        <v>40</v>
      </c>
      <c r="B35" s="4">
        <v>7975.0785714285739</v>
      </c>
      <c r="C35" s="4">
        <v>23733.585714285713</v>
      </c>
      <c r="D35" s="4">
        <v>21374.609523809522</v>
      </c>
      <c r="E35" s="4">
        <v>11871.916666666668</v>
      </c>
      <c r="F35" s="4">
        <v>29896.428571428572</v>
      </c>
      <c r="G35" s="4">
        <v>2319.6976190476184</v>
      </c>
    </row>
    <row r="36" spans="1:7" x14ac:dyDescent="0.3">
      <c r="A36" s="3" t="s">
        <v>41</v>
      </c>
      <c r="B36" s="4">
        <v>8366.09</v>
      </c>
      <c r="C36" s="4">
        <v>28198.484999999997</v>
      </c>
      <c r="D36" s="4">
        <v>21433.0975</v>
      </c>
      <c r="E36" s="4">
        <v>11739.495000000003</v>
      </c>
      <c r="F36" s="4">
        <v>30877.464999999997</v>
      </c>
      <c r="G36" s="4">
        <v>2661.915</v>
      </c>
    </row>
    <row r="37" spans="1:7" x14ac:dyDescent="0.3">
      <c r="A37" s="3" t="s">
        <v>42</v>
      </c>
      <c r="B37" s="4">
        <v>9122.8568181818191</v>
      </c>
      <c r="C37" s="4">
        <v>30405.259090909094</v>
      </c>
      <c r="D37" s="4">
        <v>23108.593181818178</v>
      </c>
      <c r="E37" s="4">
        <v>12634.770454545454</v>
      </c>
      <c r="F37" s="4">
        <v>33507.277272727275</v>
      </c>
      <c r="G37" s="4">
        <v>3153.4795454545456</v>
      </c>
    </row>
    <row r="38" spans="1:7" x14ac:dyDescent="0.3">
      <c r="A38" s="3" t="s">
        <v>43</v>
      </c>
      <c r="B38" s="4">
        <v>9965.5400000000009</v>
      </c>
      <c r="C38" s="4">
        <v>31710.947499999998</v>
      </c>
      <c r="D38" s="4">
        <v>25993.272499999999</v>
      </c>
      <c r="E38" s="4">
        <v>13057.622499999996</v>
      </c>
      <c r="F38" s="4">
        <v>34378.557499999995</v>
      </c>
      <c r="G38" s="4">
        <v>3368.6875</v>
      </c>
    </row>
    <row r="39" spans="1:7" x14ac:dyDescent="0.3">
      <c r="A39" s="3" t="s">
        <v>44</v>
      </c>
      <c r="B39" s="4">
        <v>10703.025000000001</v>
      </c>
      <c r="C39" s="4">
        <v>35736.11</v>
      </c>
      <c r="D39" s="4">
        <v>25410.8825</v>
      </c>
      <c r="E39" s="4">
        <v>12673.48</v>
      </c>
      <c r="F39" s="4">
        <v>33694.377500000002</v>
      </c>
      <c r="G39" s="4">
        <v>3550.16</v>
      </c>
    </row>
    <row r="40" spans="1:7" x14ac:dyDescent="0.3">
      <c r="A40" s="3" t="s">
        <v>45</v>
      </c>
      <c r="B40" s="4">
        <v>10260.619047619048</v>
      </c>
      <c r="C40" s="4">
        <v>34643.347619047614</v>
      </c>
      <c r="D40" s="4">
        <v>25684.699999999997</v>
      </c>
      <c r="E40" s="4">
        <v>12154.364285714284</v>
      </c>
      <c r="F40" s="4">
        <v>33602.459523809528</v>
      </c>
      <c r="G40" s="4">
        <v>3864.4928571428572</v>
      </c>
    </row>
    <row r="41" spans="1:7" x14ac:dyDescent="0.3">
      <c r="A41" s="3" t="s">
        <v>46</v>
      </c>
      <c r="B41" s="4">
        <v>9745.5631578947359</v>
      </c>
      <c r="C41" s="4">
        <v>32366.831578947364</v>
      </c>
      <c r="D41" s="4">
        <v>26200.655263157896</v>
      </c>
      <c r="E41" s="4">
        <v>13151.505263157893</v>
      </c>
      <c r="F41" s="4">
        <v>34415.007894736846</v>
      </c>
      <c r="G41" s="4">
        <v>4450.4026315789461</v>
      </c>
    </row>
    <row r="42" spans="1:7" x14ac:dyDescent="0.3">
      <c r="A42" s="3" t="s">
        <v>47</v>
      </c>
      <c r="B42" s="4">
        <v>10102.502500000001</v>
      </c>
      <c r="C42" s="4">
        <v>33647.490000000005</v>
      </c>
      <c r="D42" s="4">
        <v>26187.317500000001</v>
      </c>
      <c r="E42" s="4">
        <v>14042.125</v>
      </c>
      <c r="F42" s="4">
        <v>34480.952499999999</v>
      </c>
      <c r="G42" s="4">
        <v>5148.5549999999994</v>
      </c>
    </row>
    <row r="43" spans="1:7" x14ac:dyDescent="0.3">
      <c r="A43" s="3" t="s">
        <v>48</v>
      </c>
      <c r="B43" s="4">
        <v>10650.618181818181</v>
      </c>
      <c r="C43" s="4">
        <v>35047.672727272729</v>
      </c>
      <c r="D43" s="4">
        <v>28153.218181818178</v>
      </c>
      <c r="E43" s="4">
        <v>14264.277272727275</v>
      </c>
      <c r="F43" s="4">
        <v>35836.363636363632</v>
      </c>
      <c r="G43" s="4">
        <v>5220.5636363636359</v>
      </c>
    </row>
    <row r="44" spans="1:7" x14ac:dyDescent="0.3">
      <c r="A44" s="3" t="s">
        <v>49</v>
      </c>
      <c r="B44" s="4">
        <v>10360.695238095239</v>
      </c>
      <c r="C44" s="4">
        <v>35112.60238095239</v>
      </c>
      <c r="D44" s="4">
        <v>29334.11428571428</v>
      </c>
      <c r="E44" s="4">
        <v>14524.007142857141</v>
      </c>
      <c r="F44" s="4">
        <v>36246.235714285714</v>
      </c>
      <c r="G44" s="4">
        <v>5342.692857142858</v>
      </c>
    </row>
    <row r="45" spans="1:7" x14ac:dyDescent="0.3">
      <c r="A45" s="3" t="s">
        <v>50</v>
      </c>
      <c r="B45" s="4">
        <v>10059.233333333334</v>
      </c>
      <c r="C45" s="4">
        <v>35740.761904761908</v>
      </c>
      <c r="D45" s="4">
        <v>32708.290476190468</v>
      </c>
      <c r="E45" s="4">
        <v>14289.190476190479</v>
      </c>
      <c r="F45" s="4">
        <v>37524.107142857138</v>
      </c>
      <c r="G45" s="4">
        <v>5654.3023809523811</v>
      </c>
    </row>
    <row r="46" spans="1:7" x14ac:dyDescent="0.3">
      <c r="A46" s="3" t="s">
        <v>51</v>
      </c>
      <c r="B46" s="4">
        <v>10295.902380952382</v>
      </c>
      <c r="C46" s="4">
        <v>37157.595238095244</v>
      </c>
      <c r="D46" s="4">
        <v>35479.888095238093</v>
      </c>
      <c r="E46" s="4">
        <v>14450.185714285715</v>
      </c>
      <c r="F46" s="4">
        <v>40670.447619047613</v>
      </c>
      <c r="G46" s="4">
        <v>5649.5714285714294</v>
      </c>
    </row>
    <row r="47" spans="1:7" x14ac:dyDescent="0.3">
      <c r="A47" s="3" t="s">
        <v>52</v>
      </c>
      <c r="B47" s="4">
        <v>11284.55</v>
      </c>
      <c r="C47" s="4">
        <v>39070.772500000006</v>
      </c>
      <c r="D47" s="4">
        <v>35513.727499999994</v>
      </c>
      <c r="E47" s="4">
        <v>14509.4125</v>
      </c>
      <c r="F47" s="4">
        <v>39886.71</v>
      </c>
      <c r="G47" s="4">
        <v>5799.4950000000008</v>
      </c>
    </row>
    <row r="48" spans="1:7" x14ac:dyDescent="0.3">
      <c r="A48" s="3" t="s">
        <v>53</v>
      </c>
      <c r="B48" s="4">
        <v>11474.23</v>
      </c>
      <c r="C48" s="4">
        <v>38186.729999999996</v>
      </c>
      <c r="D48" s="4">
        <v>35588.122499999998</v>
      </c>
      <c r="E48" s="4">
        <v>13862.905000000002</v>
      </c>
      <c r="F48" s="4">
        <v>38528.662499999991</v>
      </c>
      <c r="G48" s="4">
        <v>5583.1949999999997</v>
      </c>
    </row>
    <row r="49" spans="1:7" x14ac:dyDescent="0.3">
      <c r="A49" s="3" t="s">
        <v>54</v>
      </c>
      <c r="B49" s="4">
        <v>10801.13913043478</v>
      </c>
      <c r="C49" s="4">
        <v>35897.010869565216</v>
      </c>
      <c r="D49" s="4">
        <v>36640.615217391307</v>
      </c>
      <c r="E49" s="4">
        <v>13634.734782608697</v>
      </c>
      <c r="F49" s="4">
        <v>37218.991304347823</v>
      </c>
      <c r="G49" s="4">
        <v>5499.4891304347821</v>
      </c>
    </row>
    <row r="50" spans="1:7" x14ac:dyDescent="0.3">
      <c r="A50" s="3" t="s">
        <v>55</v>
      </c>
      <c r="B50" s="4">
        <v>11496.18</v>
      </c>
      <c r="C50" s="4">
        <v>37836.995000000003</v>
      </c>
      <c r="D50" s="4">
        <v>37234.222500000003</v>
      </c>
      <c r="E50" s="4">
        <v>13764.142499999998</v>
      </c>
      <c r="F50" s="4">
        <v>37278.6875</v>
      </c>
      <c r="G50" s="4">
        <v>5665.7300000000014</v>
      </c>
    </row>
    <row r="51" spans="1:7" x14ac:dyDescent="0.3">
      <c r="A51" s="3" t="s">
        <v>56</v>
      </c>
      <c r="B51" s="4">
        <v>11383.404999999999</v>
      </c>
      <c r="C51" s="4">
        <v>37813.719999999987</v>
      </c>
      <c r="D51" s="4">
        <v>34522.289999999994</v>
      </c>
      <c r="E51" s="4">
        <v>13377.732500000002</v>
      </c>
      <c r="F51" s="4">
        <v>36448.315000000002</v>
      </c>
      <c r="G51" s="4">
        <v>5775.2224999999999</v>
      </c>
    </row>
    <row r="52" spans="1:7" x14ac:dyDescent="0.3">
      <c r="A52" s="3" t="s">
        <v>57</v>
      </c>
      <c r="B52" s="4">
        <v>10230.721428571431</v>
      </c>
      <c r="C52" s="4">
        <v>35229.55000000001</v>
      </c>
      <c r="D52" s="4">
        <v>35479.030952380956</v>
      </c>
      <c r="E52" s="4">
        <v>13405.352380952379</v>
      </c>
      <c r="F52" s="4">
        <v>35485.454761904752</v>
      </c>
      <c r="G52" s="4">
        <v>6248.4809523809527</v>
      </c>
    </row>
    <row r="53" spans="1:7" x14ac:dyDescent="0.3">
      <c r="A53" s="3" t="s">
        <v>58</v>
      </c>
      <c r="B53" s="4">
        <v>10910.723684210527</v>
      </c>
      <c r="C53" s="4">
        <v>36994.268421052635</v>
      </c>
      <c r="D53" s="4">
        <v>33688.589473684224</v>
      </c>
      <c r="E53" s="4">
        <v>13769.107894736842</v>
      </c>
      <c r="F53" s="4">
        <v>37788.928947368426</v>
      </c>
      <c r="G53" s="4">
        <v>6537.7684210526313</v>
      </c>
    </row>
    <row r="54" spans="1:7" x14ac:dyDescent="0.3">
      <c r="A54" s="3" t="s">
        <v>59</v>
      </c>
      <c r="B54" s="4">
        <v>10829.72380952381</v>
      </c>
      <c r="C54" s="4">
        <v>34567.242857142861</v>
      </c>
      <c r="D54" s="4">
        <v>29652.502380952377</v>
      </c>
      <c r="E54" s="4">
        <v>12899.173809523811</v>
      </c>
      <c r="F54" s="4">
        <v>37639.433333333349</v>
      </c>
      <c r="G54" s="4">
        <v>5582.7214285714281</v>
      </c>
    </row>
    <row r="55" spans="1:7" x14ac:dyDescent="0.3">
      <c r="A55" s="3" t="s">
        <v>60</v>
      </c>
      <c r="B55" s="4">
        <v>11322.038636363635</v>
      </c>
      <c r="C55" s="4">
        <v>33926.384090909087</v>
      </c>
      <c r="D55" s="4">
        <v>28406.134090909094</v>
      </c>
      <c r="E55" s="4">
        <v>12313.540909090911</v>
      </c>
      <c r="F55" s="4">
        <v>37496.906818181822</v>
      </c>
      <c r="G55" s="4">
        <v>4943.8136363636359</v>
      </c>
    </row>
    <row r="56" spans="1:7" x14ac:dyDescent="0.3">
      <c r="A56" s="3" t="s">
        <v>61</v>
      </c>
      <c r="B56" s="4">
        <v>12228.990476190476</v>
      </c>
      <c r="C56" s="4">
        <v>35486.080952380958</v>
      </c>
      <c r="D56" s="4">
        <v>27769.609523809522</v>
      </c>
      <c r="E56" s="4">
        <v>12619.830952380949</v>
      </c>
      <c r="F56" s="4">
        <v>41246.288095238095</v>
      </c>
      <c r="G56" s="4">
        <v>4955.9595238095226</v>
      </c>
    </row>
    <row r="57" spans="1:7" x14ac:dyDescent="0.3">
      <c r="A57" s="3" t="s">
        <v>62</v>
      </c>
      <c r="B57" s="4">
        <v>12967.094999999999</v>
      </c>
      <c r="C57" s="4">
        <v>38658.435000000005</v>
      </c>
      <c r="D57" s="4">
        <v>29405.555000000004</v>
      </c>
      <c r="E57" s="4">
        <v>12874.322500000002</v>
      </c>
      <c r="F57" s="4">
        <v>42916.805</v>
      </c>
      <c r="G57" s="4">
        <v>5770.2225000000008</v>
      </c>
    </row>
    <row r="58" spans="1:7" x14ac:dyDescent="0.3">
      <c r="A58" s="3" t="s">
        <v>63</v>
      </c>
      <c r="B58" s="4">
        <v>13057.977272727272</v>
      </c>
      <c r="C58" s="4">
        <v>39903.704545454544</v>
      </c>
      <c r="D58" s="4">
        <v>27514.631818181824</v>
      </c>
      <c r="E58" s="4">
        <v>12716.145454545453</v>
      </c>
      <c r="F58" s="4">
        <v>44010.55909090909</v>
      </c>
      <c r="G58" s="4">
        <v>5994.3909090909083</v>
      </c>
    </row>
    <row r="59" spans="1:7" x14ac:dyDescent="0.3">
      <c r="A59" s="3" t="s">
        <v>64</v>
      </c>
      <c r="B59" s="4">
        <v>12749.486842105263</v>
      </c>
      <c r="C59" s="4">
        <v>39893.473684210527</v>
      </c>
      <c r="D59" s="4">
        <v>28030.497368421049</v>
      </c>
      <c r="E59" s="4">
        <v>13126.768421052629</v>
      </c>
      <c r="F59" s="4">
        <v>43708.039473684214</v>
      </c>
      <c r="G59" s="4">
        <v>5813.0421052631573</v>
      </c>
    </row>
    <row r="60" spans="1:7" x14ac:dyDescent="0.3">
      <c r="A60" s="3" t="s">
        <v>65</v>
      </c>
      <c r="B60" s="4">
        <v>13071.785714285714</v>
      </c>
      <c r="C60" s="4">
        <v>42237.185714285712</v>
      </c>
      <c r="D60" s="4">
        <v>29523.94761904762</v>
      </c>
      <c r="E60" s="4">
        <v>13179.440476190477</v>
      </c>
      <c r="F60" s="4">
        <v>44322.642857142862</v>
      </c>
      <c r="G60" s="4">
        <v>6386.7547619047618</v>
      </c>
    </row>
    <row r="61" spans="1:7" x14ac:dyDescent="0.3">
      <c r="A61" s="3" t="s">
        <v>66</v>
      </c>
      <c r="B61" s="4">
        <v>12795.431818181816</v>
      </c>
      <c r="C61" s="4">
        <v>43164.145454545454</v>
      </c>
      <c r="D61" s="4">
        <v>29307.138636363637</v>
      </c>
      <c r="E61" s="4">
        <v>12899.077272727272</v>
      </c>
      <c r="F61" s="4">
        <v>45305.625</v>
      </c>
      <c r="G61" s="4">
        <v>6661.6568181818202</v>
      </c>
    </row>
    <row r="62" spans="1:7" x14ac:dyDescent="0.3">
      <c r="A62" s="3" t="s">
        <v>67</v>
      </c>
      <c r="B62" s="4">
        <v>12813.542857142855</v>
      </c>
      <c r="C62" s="4">
        <v>42188.32142857142</v>
      </c>
      <c r="D62" s="4">
        <v>29235.89285714287</v>
      </c>
      <c r="E62" s="4">
        <v>12708.535714285714</v>
      </c>
      <c r="F62" s="4">
        <v>44272.680952380957</v>
      </c>
      <c r="G62" s="4">
        <v>6736.2333333333318</v>
      </c>
    </row>
    <row r="63" spans="1:7" x14ac:dyDescent="0.3">
      <c r="A63" s="3" t="s">
        <v>68</v>
      </c>
      <c r="B63" s="4">
        <v>13124.059999999998</v>
      </c>
      <c r="C63" s="4">
        <v>40974.097499999996</v>
      </c>
      <c r="D63" s="4">
        <v>30615.805</v>
      </c>
      <c r="E63" s="4">
        <v>12237.9625</v>
      </c>
      <c r="F63" s="4">
        <v>45598.477500000001</v>
      </c>
      <c r="G63" s="4">
        <v>5740.4874999999993</v>
      </c>
    </row>
    <row r="64" spans="1:7" x14ac:dyDescent="0.3">
      <c r="A64" s="3" t="s">
        <v>69</v>
      </c>
      <c r="B64" s="4">
        <v>12408.266666666666</v>
      </c>
      <c r="C64" s="4">
        <v>40073.964285714283</v>
      </c>
      <c r="D64" s="4">
        <v>28877.478571428575</v>
      </c>
      <c r="E64" s="4">
        <v>11809.933333333334</v>
      </c>
      <c r="F64" s="4">
        <v>45155.145238095232</v>
      </c>
      <c r="G64" s="4">
        <v>5527.5666666666675</v>
      </c>
    </row>
    <row r="65" spans="1:7" x14ac:dyDescent="0.3">
      <c r="A65" s="3" t="s">
        <v>70</v>
      </c>
      <c r="B65" s="4">
        <v>12844.652941176473</v>
      </c>
      <c r="C65" s="4">
        <v>42011.352941176476</v>
      </c>
      <c r="D65" s="4">
        <v>27756.76176470588</v>
      </c>
      <c r="E65" s="4">
        <v>12478.96176470588</v>
      </c>
      <c r="F65" s="4">
        <v>46578.914705882351</v>
      </c>
      <c r="G65" s="4">
        <v>5679.5441176470595</v>
      </c>
    </row>
    <row r="66" spans="1:7" x14ac:dyDescent="0.3">
      <c r="A66" s="3" t="s">
        <v>71</v>
      </c>
      <c r="B66" s="4">
        <v>13814.71590909091</v>
      </c>
      <c r="C66" s="4">
        <v>43708.313636363629</v>
      </c>
      <c r="D66" s="4">
        <v>28412.504545454543</v>
      </c>
      <c r="E66" s="4">
        <v>12573.520454545453</v>
      </c>
      <c r="F66" s="4">
        <v>49170.856818181812</v>
      </c>
      <c r="G66" s="4">
        <v>5812.045454545455</v>
      </c>
    </row>
    <row r="67" spans="1:7" x14ac:dyDescent="0.3">
      <c r="A67" s="3" t="s">
        <v>72</v>
      </c>
      <c r="B67" s="4">
        <v>14690.583333333334</v>
      </c>
      <c r="C67" s="4">
        <v>43956.785714285717</v>
      </c>
      <c r="D67" s="4">
        <v>28867.376190476192</v>
      </c>
      <c r="E67" s="4">
        <v>13194.857142857143</v>
      </c>
      <c r="F67" s="4">
        <v>51556.097619047621</v>
      </c>
      <c r="G67" s="4">
        <v>6109.4547619047617</v>
      </c>
    </row>
    <row r="68" spans="1:7" x14ac:dyDescent="0.3">
      <c r="A68" s="3" t="s">
        <v>73</v>
      </c>
      <c r="B68" s="4">
        <v>15513.959523809524</v>
      </c>
      <c r="C68" s="4">
        <v>45382.23095238096</v>
      </c>
      <c r="D68" s="4">
        <v>29996.445238095235</v>
      </c>
      <c r="E68" s="4">
        <v>14204.188095238096</v>
      </c>
      <c r="F68" s="4">
        <v>53135.464285714275</v>
      </c>
      <c r="G68" s="4">
        <v>6444.2023809523826</v>
      </c>
    </row>
    <row r="69" spans="1:7" x14ac:dyDescent="0.3">
      <c r="A69" s="3" t="s">
        <v>74</v>
      </c>
      <c r="B69" s="4">
        <v>15457.81363636364</v>
      </c>
      <c r="C69" s="4">
        <v>44436.274999999987</v>
      </c>
      <c r="D69" s="4">
        <v>30798.829545454544</v>
      </c>
      <c r="E69" s="4">
        <v>15369.275000000001</v>
      </c>
      <c r="F69" s="4">
        <v>51777.143181818181</v>
      </c>
      <c r="G69" s="4">
        <v>6606.254545454547</v>
      </c>
    </row>
    <row r="70" spans="1:7" x14ac:dyDescent="0.3">
      <c r="A70" s="3" t="s">
        <v>75</v>
      </c>
      <c r="B70" s="4">
        <v>16170.459999999997</v>
      </c>
      <c r="C70" s="4">
        <v>45033.93499999999</v>
      </c>
      <c r="D70" s="4">
        <v>32570.547500000004</v>
      </c>
      <c r="E70" s="4">
        <v>15366.007500000002</v>
      </c>
      <c r="F70" s="4">
        <v>51822.217500000006</v>
      </c>
      <c r="G70" s="4">
        <v>6905.6824999999981</v>
      </c>
    </row>
    <row r="71" spans="1:7" x14ac:dyDescent="0.3">
      <c r="A71" s="3" t="s">
        <v>76</v>
      </c>
      <c r="B71" s="4">
        <v>16185.372499999998</v>
      </c>
      <c r="C71" s="4">
        <v>43775.992500000008</v>
      </c>
      <c r="D71" s="4">
        <v>31541.109999999997</v>
      </c>
      <c r="E71" s="4">
        <v>15153.825000000001</v>
      </c>
      <c r="F71" s="4">
        <v>51771.592499999984</v>
      </c>
      <c r="G71" s="4">
        <v>6691.8599999999988</v>
      </c>
    </row>
    <row r="72" spans="1:7" x14ac:dyDescent="0.3">
      <c r="A72" s="3" t="s">
        <v>77</v>
      </c>
      <c r="B72" s="4">
        <v>16619.752380952385</v>
      </c>
      <c r="C72" s="4">
        <v>43732.885714285716</v>
      </c>
      <c r="D72" s="4">
        <v>31539.764285714278</v>
      </c>
      <c r="E72" s="4">
        <v>15647.780952380956</v>
      </c>
      <c r="F72" s="4">
        <v>52303.040476190472</v>
      </c>
      <c r="G72" s="4">
        <v>6726.3238095238103</v>
      </c>
    </row>
    <row r="73" spans="1:7" x14ac:dyDescent="0.3">
      <c r="A73" s="3" t="s">
        <v>78</v>
      </c>
      <c r="B73" s="4">
        <v>17900.984999999997</v>
      </c>
      <c r="C73" s="4">
        <v>47394.972500000011</v>
      </c>
      <c r="D73" s="4">
        <v>34294.875</v>
      </c>
      <c r="E73" s="4">
        <v>16409.852500000001</v>
      </c>
      <c r="F73" s="4">
        <v>54663.565000000002</v>
      </c>
      <c r="G73" s="4">
        <v>7559.3250000000016</v>
      </c>
    </row>
    <row r="74" spans="1:7" x14ac:dyDescent="0.3">
      <c r="A74" s="3" t="s">
        <v>79</v>
      </c>
      <c r="B74" s="4">
        <v>18602.445454545454</v>
      </c>
      <c r="C74" s="4">
        <v>46765.859090909093</v>
      </c>
      <c r="D74" s="4">
        <v>35952.299999999996</v>
      </c>
      <c r="E74" s="4">
        <v>17514.495454545453</v>
      </c>
      <c r="F74" s="4">
        <v>56294.115909090913</v>
      </c>
      <c r="G74" s="4">
        <v>7821.7659090909083</v>
      </c>
    </row>
    <row r="75" spans="1:7" x14ac:dyDescent="0.3">
      <c r="A75" s="3" t="s">
        <v>80</v>
      </c>
      <c r="B75" s="4">
        <v>20040.083333333332</v>
      </c>
      <c r="C75" s="4">
        <v>46127.011904761916</v>
      </c>
      <c r="D75" s="4">
        <v>37806.878571428577</v>
      </c>
      <c r="E75" s="4">
        <v>18800.278571428571</v>
      </c>
      <c r="F75" s="4">
        <v>54108.126190476185</v>
      </c>
      <c r="G75" s="4">
        <v>8004.1785714285716</v>
      </c>
    </row>
    <row r="76" spans="1:7" x14ac:dyDescent="0.3">
      <c r="A76" s="3" t="s">
        <v>81</v>
      </c>
      <c r="B76" s="4">
        <v>20822.031578947372</v>
      </c>
      <c r="C76" s="4">
        <v>47038.384210526317</v>
      </c>
      <c r="D76" s="4">
        <v>36519.726315789485</v>
      </c>
      <c r="E76" s="4">
        <v>18990.836842105269</v>
      </c>
      <c r="F76" s="4">
        <v>53814.615789473683</v>
      </c>
      <c r="G76" s="4">
        <v>8102.2210526315785</v>
      </c>
    </row>
    <row r="77" spans="1:7" x14ac:dyDescent="0.3">
      <c r="A77" s="3" t="s">
        <v>82</v>
      </c>
      <c r="B77" s="4">
        <v>21834.665000000001</v>
      </c>
      <c r="C77" s="4">
        <v>48183.400000000009</v>
      </c>
      <c r="D77" s="4">
        <v>34280.789999999994</v>
      </c>
      <c r="E77" s="4">
        <v>19021.84</v>
      </c>
      <c r="F77" s="4">
        <v>53798.072499999995</v>
      </c>
      <c r="G77" s="4">
        <v>8916.7050000000017</v>
      </c>
    </row>
    <row r="78" spans="1:7" x14ac:dyDescent="0.3">
      <c r="A78" s="3" t="s">
        <v>83</v>
      </c>
      <c r="B78" s="4">
        <v>23100.995454545453</v>
      </c>
      <c r="C78" s="4">
        <v>48364.570454545457</v>
      </c>
      <c r="D78" s="4">
        <v>33343.340909090912</v>
      </c>
      <c r="E78" s="4">
        <v>19151.202272727274</v>
      </c>
      <c r="F78" s="4">
        <v>55058.931818181816</v>
      </c>
      <c r="G78" s="4">
        <v>9482.1590909090901</v>
      </c>
    </row>
    <row r="79" spans="1:7" x14ac:dyDescent="0.3">
      <c r="A79" s="3" t="s">
        <v>84</v>
      </c>
      <c r="B79" s="4">
        <v>24994.794736842108</v>
      </c>
      <c r="C79" s="4">
        <v>50679.281578947361</v>
      </c>
      <c r="D79" s="4">
        <v>34649.447368421053</v>
      </c>
      <c r="E79" s="4">
        <v>19645.389473684208</v>
      </c>
      <c r="F79" s="4">
        <v>56807.834210526322</v>
      </c>
      <c r="G79" s="4">
        <v>9781.75</v>
      </c>
    </row>
    <row r="80" spans="1:7" x14ac:dyDescent="0.3">
      <c r="A80" s="3" t="s">
        <v>85</v>
      </c>
      <c r="B80" s="4">
        <v>25549.402272727271</v>
      </c>
      <c r="C80" s="4">
        <v>52140.361363636373</v>
      </c>
      <c r="D80" s="4">
        <v>38971.652272727275</v>
      </c>
      <c r="E80" s="4">
        <v>20811.165909090902</v>
      </c>
      <c r="F80" s="4">
        <v>60091.206818181796</v>
      </c>
      <c r="G80" s="4">
        <v>9626.2977272727276</v>
      </c>
    </row>
    <row r="81" spans="1:7" x14ac:dyDescent="0.3">
      <c r="A81" s="3" t="s">
        <v>86</v>
      </c>
      <c r="B81" s="4">
        <v>25498.928571428565</v>
      </c>
      <c r="C81" s="4">
        <v>50667.590476190475</v>
      </c>
      <c r="D81" s="4">
        <v>40530.564285714288</v>
      </c>
      <c r="E81" s="4">
        <v>22413.547619047615</v>
      </c>
      <c r="F81" s="4">
        <v>62400.228571428561</v>
      </c>
      <c r="G81" s="4">
        <v>9192.2809523809537</v>
      </c>
    </row>
    <row r="82" spans="1:7" x14ac:dyDescent="0.3">
      <c r="A82" s="3" t="s">
        <v>87</v>
      </c>
      <c r="B82" s="4">
        <v>26184.609523809526</v>
      </c>
      <c r="C82" s="4">
        <v>52427.435714285733</v>
      </c>
      <c r="D82" s="4">
        <v>42492.988095238099</v>
      </c>
      <c r="E82" s="4">
        <v>23346.559523809519</v>
      </c>
      <c r="F82" s="4">
        <v>64856.649999999994</v>
      </c>
      <c r="G82" s="4">
        <v>9431.6357142857141</v>
      </c>
    </row>
    <row r="83" spans="1:7" x14ac:dyDescent="0.3">
      <c r="A83" s="3" t="s">
        <v>88</v>
      </c>
      <c r="B83" s="4">
        <v>25301.818181818177</v>
      </c>
      <c r="C83" s="4">
        <v>51544.872727272748</v>
      </c>
      <c r="D83" s="4">
        <v>42087.552272727276</v>
      </c>
      <c r="E83" s="4">
        <v>23294.995454545457</v>
      </c>
      <c r="F83" s="4">
        <v>61409.97954545456</v>
      </c>
      <c r="G83" s="4">
        <v>9651.8613636363661</v>
      </c>
    </row>
    <row r="84" spans="1:7" x14ac:dyDescent="0.3">
      <c r="A84" s="3" t="s">
        <v>89</v>
      </c>
      <c r="B84" s="4">
        <v>23468.718421052632</v>
      </c>
      <c r="C84" s="4">
        <v>51439.778947368424</v>
      </c>
      <c r="D84" s="4">
        <v>42282.1</v>
      </c>
      <c r="E84" s="4">
        <v>22368.610526315784</v>
      </c>
      <c r="F84" s="4">
        <v>57547.813157894736</v>
      </c>
      <c r="G84" s="4">
        <v>9090.7105263157882</v>
      </c>
    </row>
    <row r="85" spans="1:7" x14ac:dyDescent="0.3">
      <c r="A85" s="3" t="s">
        <v>90</v>
      </c>
      <c r="B85" s="4">
        <v>23351.476190476187</v>
      </c>
      <c r="C85" s="4">
        <v>52385.614285714284</v>
      </c>
      <c r="D85" s="4">
        <v>44541.176190476188</v>
      </c>
      <c r="E85" s="4">
        <v>22631.540476190479</v>
      </c>
      <c r="F85" s="4">
        <v>56718.361904761899</v>
      </c>
      <c r="G85" s="4">
        <v>9121.3761904761905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DFF78-449D-48E8-9906-A46710ADD673}">
  <dimension ref="A1:M85"/>
  <sheetViews>
    <sheetView topLeftCell="H1" workbookViewId="0">
      <selection activeCell="C3" sqref="A1:M85"/>
    </sheetView>
  </sheetViews>
  <sheetFormatPr defaultRowHeight="14.4" x14ac:dyDescent="0.3"/>
  <cols>
    <col min="1" max="1" width="15.44140625" bestFit="1" customWidth="1"/>
    <col min="2" max="2" width="10.21875" bestFit="1" customWidth="1"/>
    <col min="3" max="3" width="12.5546875" style="12" bestFit="1" customWidth="1"/>
    <col min="4" max="4" width="10.33203125" bestFit="1" customWidth="1"/>
    <col min="5" max="5" width="12.6640625" style="12" bestFit="1" customWidth="1"/>
    <col min="6" max="6" width="8.5546875" bestFit="1" customWidth="1"/>
    <col min="7" max="7" width="10" style="12" bestFit="1" customWidth="1"/>
    <col min="8" max="8" width="12.6640625" bestFit="1" customWidth="1"/>
    <col min="9" max="9" width="15.109375" style="12" bestFit="1" customWidth="1"/>
    <col min="10" max="10" width="11.109375" bestFit="1" customWidth="1"/>
    <col min="11" max="11" width="13.5546875" style="12" bestFit="1" customWidth="1"/>
    <col min="12" max="12" width="11" bestFit="1" customWidth="1"/>
    <col min="13" max="13" width="13.44140625" style="12" bestFit="1" customWidth="1"/>
  </cols>
  <sheetData>
    <row r="1" spans="1:13" x14ac:dyDescent="0.3">
      <c r="A1" s="5" t="s">
        <v>0</v>
      </c>
      <c r="B1" s="5" t="s">
        <v>1</v>
      </c>
      <c r="C1" s="9" t="s">
        <v>91</v>
      </c>
      <c r="D1" s="5" t="s">
        <v>2</v>
      </c>
      <c r="E1" s="9" t="s">
        <v>92</v>
      </c>
      <c r="F1" s="5" t="s">
        <v>3</v>
      </c>
      <c r="G1" s="9" t="s">
        <v>93</v>
      </c>
      <c r="H1" s="5" t="s">
        <v>4</v>
      </c>
      <c r="I1" s="9" t="s">
        <v>94</v>
      </c>
      <c r="J1" s="5" t="s">
        <v>5</v>
      </c>
      <c r="K1" s="9" t="s">
        <v>95</v>
      </c>
      <c r="L1" s="6" t="s">
        <v>6</v>
      </c>
      <c r="M1" s="9" t="s">
        <v>96</v>
      </c>
    </row>
    <row r="2" spans="1:13" x14ac:dyDescent="0.3">
      <c r="A2" s="3" t="s">
        <v>7</v>
      </c>
      <c r="B2" s="7">
        <v>11771.863636363636</v>
      </c>
      <c r="C2" s="10" t="s">
        <v>97</v>
      </c>
      <c r="D2" s="7">
        <v>26302.254545454543</v>
      </c>
      <c r="E2" s="10" t="s">
        <v>97</v>
      </c>
      <c r="F2" s="7">
        <v>12345.977272727272</v>
      </c>
      <c r="G2" s="10" t="s">
        <v>97</v>
      </c>
      <c r="H2" s="7">
        <v>9762.4045454545449</v>
      </c>
      <c r="I2" s="10" t="s">
        <v>97</v>
      </c>
      <c r="J2" s="7">
        <v>27212.922727272726</v>
      </c>
      <c r="K2" s="10" t="s">
        <v>97</v>
      </c>
      <c r="L2" s="8">
        <v>4096.0477272727276</v>
      </c>
      <c r="M2" s="10" t="s">
        <v>97</v>
      </c>
    </row>
    <row r="3" spans="1:13" x14ac:dyDescent="0.3">
      <c r="A3" s="3" t="s">
        <v>8</v>
      </c>
      <c r="B3" s="7">
        <v>11191.047368421054</v>
      </c>
      <c r="C3" s="11">
        <f>(B3-B2)/B2*100</f>
        <v>-4.9339364257365643</v>
      </c>
      <c r="D3" s="7">
        <v>25556.502631578951</v>
      </c>
      <c r="E3" s="11">
        <f>(D3-D2)/D2*100</f>
        <v>-2.8353155528428662</v>
      </c>
      <c r="F3" s="7">
        <v>12628.915789473684</v>
      </c>
      <c r="G3" s="11">
        <f>(F3-F2)/F2*100</f>
        <v>2.2917466191310214</v>
      </c>
      <c r="H3" s="7">
        <v>9178.9394736842096</v>
      </c>
      <c r="I3" s="11">
        <f>(H3-H2)/H2*100</f>
        <v>-5.9766532830479902</v>
      </c>
      <c r="J3" s="7">
        <v>26720.989473684207</v>
      </c>
      <c r="K3" s="11">
        <f>(J3-J2)/J2*100</f>
        <v>-1.8077192902749266</v>
      </c>
      <c r="L3" s="8">
        <v>3976.1763157894734</v>
      </c>
      <c r="M3" s="11">
        <f>(L3-L2)/L2*100</f>
        <v>-2.9265140316875211</v>
      </c>
    </row>
    <row r="4" spans="1:13" x14ac:dyDescent="0.3">
      <c r="A4" s="3" t="s">
        <v>9</v>
      </c>
      <c r="B4" s="7">
        <v>10889.752631578949</v>
      </c>
      <c r="C4" s="11">
        <f t="shared" ref="C4:C67" si="0">(B4-B3)/B3*100</f>
        <v>-2.6922836346158214</v>
      </c>
      <c r="D4" s="7">
        <v>24422.971052631583</v>
      </c>
      <c r="E4" s="11">
        <f t="shared" ref="E4:E67" si="1">(D4-D3)/D3*100</f>
        <v>-4.4353939789348056</v>
      </c>
      <c r="F4" s="7">
        <v>12658.276315789475</v>
      </c>
      <c r="G4" s="11">
        <f t="shared" ref="G4:G67" si="2">(F4-F3)/F3*100</f>
        <v>0.23248651590711983</v>
      </c>
      <c r="H4" s="7">
        <v>8679.2052631578936</v>
      </c>
      <c r="I4" s="11">
        <f t="shared" ref="I4:I67" si="3">(H4-H3)/H3*100</f>
        <v>-5.4443567468664709</v>
      </c>
      <c r="J4" s="7">
        <v>26184.849999999995</v>
      </c>
      <c r="K4" s="11">
        <f t="shared" ref="K4:K67" si="4">(J4-J3)/J3*100</f>
        <v>-2.0064357055797712</v>
      </c>
      <c r="L4" s="8">
        <v>3675.8868421052625</v>
      </c>
      <c r="M4" s="11">
        <f t="shared" ref="M4:M67" si="5">(L4-L3)/L3*100</f>
        <v>-7.5522172518294903</v>
      </c>
    </row>
    <row r="5" spans="1:13" x14ac:dyDescent="0.3">
      <c r="A5" s="3" t="s">
        <v>10</v>
      </c>
      <c r="B5" s="7">
        <v>11429.723809523808</v>
      </c>
      <c r="C5" s="11">
        <f t="shared" si="0"/>
        <v>4.9585256544671976</v>
      </c>
      <c r="D5" s="7">
        <v>24999.902380952379</v>
      </c>
      <c r="E5" s="11">
        <f t="shared" si="1"/>
        <v>2.3622487496607469</v>
      </c>
      <c r="F5" s="7">
        <v>13215.090476190477</v>
      </c>
      <c r="G5" s="11">
        <f t="shared" si="2"/>
        <v>4.3988150243367006</v>
      </c>
      <c r="H5" s="7">
        <v>8862.9452380952371</v>
      </c>
      <c r="I5" s="11">
        <f t="shared" si="3"/>
        <v>2.1170138205775126</v>
      </c>
      <c r="J5" s="7">
        <v>27480.978571428575</v>
      </c>
      <c r="K5" s="11">
        <f t="shared" si="4"/>
        <v>4.9499178778132427</v>
      </c>
      <c r="L5" s="8">
        <v>3710.5976190476199</v>
      </c>
      <c r="M5" s="11">
        <f t="shared" si="5"/>
        <v>0.94428306510321547</v>
      </c>
    </row>
    <row r="6" spans="1:13" x14ac:dyDescent="0.3">
      <c r="A6" s="3" t="s">
        <v>11</v>
      </c>
      <c r="B6" s="7">
        <v>11147.31590909091</v>
      </c>
      <c r="C6" s="11">
        <f t="shared" si="0"/>
        <v>-2.4708199877724222</v>
      </c>
      <c r="D6" s="7">
        <v>26099.893181818188</v>
      </c>
      <c r="E6" s="11">
        <f t="shared" si="1"/>
        <v>4.3999803843390239</v>
      </c>
      <c r="F6" s="7">
        <v>13524.504545454547</v>
      </c>
      <c r="G6" s="11">
        <f t="shared" si="2"/>
        <v>2.3413692840131453</v>
      </c>
      <c r="H6" s="7">
        <v>8560.6863636363632</v>
      </c>
      <c r="I6" s="11">
        <f t="shared" si="3"/>
        <v>-3.4103660390418162</v>
      </c>
      <c r="J6" s="7">
        <v>28569.118181818179</v>
      </c>
      <c r="K6" s="11">
        <f t="shared" si="4"/>
        <v>3.9596101265510288</v>
      </c>
      <c r="L6" s="8">
        <v>3628.7704545454549</v>
      </c>
      <c r="M6" s="11">
        <f t="shared" si="5"/>
        <v>-2.2052287233226648</v>
      </c>
    </row>
    <row r="7" spans="1:13" x14ac:dyDescent="0.3">
      <c r="A7" s="3" t="s">
        <v>12</v>
      </c>
      <c r="B7" s="7">
        <v>11057.300000000003</v>
      </c>
      <c r="C7" s="11">
        <f t="shared" si="0"/>
        <v>-0.80751195915688712</v>
      </c>
      <c r="D7" s="7">
        <v>26478.159523809521</v>
      </c>
      <c r="E7" s="11">
        <f t="shared" si="1"/>
        <v>1.4493022609565418</v>
      </c>
      <c r="F7" s="7">
        <v>13813.552380952377</v>
      </c>
      <c r="G7" s="11">
        <f t="shared" si="2"/>
        <v>2.1372157074321487</v>
      </c>
      <c r="H7" s="7">
        <v>8993.1999999999989</v>
      </c>
      <c r="I7" s="11">
        <f t="shared" si="3"/>
        <v>5.0523242879314507</v>
      </c>
      <c r="J7" s="7">
        <v>28671.88571428572</v>
      </c>
      <c r="K7" s="11">
        <f t="shared" si="4"/>
        <v>0.35971545153585793</v>
      </c>
      <c r="L7" s="8">
        <v>3514.4452380952371</v>
      </c>
      <c r="M7" s="11">
        <f t="shared" si="5"/>
        <v>-3.150522136417095</v>
      </c>
    </row>
    <row r="8" spans="1:13" x14ac:dyDescent="0.3">
      <c r="A8" s="3" t="s">
        <v>13</v>
      </c>
      <c r="B8" s="7">
        <v>10911.03409090909</v>
      </c>
      <c r="C8" s="11">
        <f t="shared" si="0"/>
        <v>-1.3227994997957258</v>
      </c>
      <c r="D8" s="7">
        <v>26917.50454545454</v>
      </c>
      <c r="E8" s="11">
        <f t="shared" si="1"/>
        <v>1.6592732634983682</v>
      </c>
      <c r="F8" s="7">
        <v>14422.772727272728</v>
      </c>
      <c r="G8" s="11">
        <f t="shared" si="2"/>
        <v>4.4103090176891095</v>
      </c>
      <c r="H8" s="7">
        <v>9184.5136363636375</v>
      </c>
      <c r="I8" s="11">
        <f t="shared" si="3"/>
        <v>2.1273143749014656</v>
      </c>
      <c r="J8" s="7">
        <v>29691.981818181815</v>
      </c>
      <c r="K8" s="11">
        <f t="shared" si="4"/>
        <v>3.5578270437505082</v>
      </c>
      <c r="L8" s="8">
        <v>3272.0136363636357</v>
      </c>
      <c r="M8" s="11">
        <f t="shared" si="5"/>
        <v>-6.8981470846020283</v>
      </c>
    </row>
    <row r="9" spans="1:13" x14ac:dyDescent="0.3">
      <c r="A9" s="3" t="s">
        <v>14</v>
      </c>
      <c r="B9" s="7">
        <v>10893.947619047618</v>
      </c>
      <c r="C9" s="11">
        <f t="shared" si="0"/>
        <v>-0.15659809802728308</v>
      </c>
      <c r="D9" s="7">
        <v>28000.859523809522</v>
      </c>
      <c r="E9" s="11">
        <f t="shared" si="1"/>
        <v>4.0247229327130354</v>
      </c>
      <c r="F9" s="7">
        <v>15034.68095238095</v>
      </c>
      <c r="G9" s="11">
        <f t="shared" si="2"/>
        <v>4.2426531754961001</v>
      </c>
      <c r="H9" s="7">
        <v>9759.476190476189</v>
      </c>
      <c r="I9" s="11">
        <f t="shared" si="3"/>
        <v>6.2601306598984223</v>
      </c>
      <c r="J9" s="7">
        <v>31925.004761904762</v>
      </c>
      <c r="K9" s="11">
        <f t="shared" si="4"/>
        <v>7.5206261319867833</v>
      </c>
      <c r="L9" s="8">
        <v>3463.721428571429</v>
      </c>
      <c r="M9" s="11">
        <f t="shared" si="5"/>
        <v>5.8590156861585845</v>
      </c>
    </row>
    <row r="10" spans="1:13" x14ac:dyDescent="0.3">
      <c r="A10" s="3" t="s">
        <v>15</v>
      </c>
      <c r="B10" s="7">
        <v>10505.508333333331</v>
      </c>
      <c r="C10" s="11">
        <f t="shared" si="0"/>
        <v>-3.5656430460076431</v>
      </c>
      <c r="D10" s="7">
        <v>26474.652777777777</v>
      </c>
      <c r="E10" s="11">
        <f t="shared" si="1"/>
        <v>-5.4505710609847169</v>
      </c>
      <c r="F10" s="7">
        <v>16026.202777777777</v>
      </c>
      <c r="G10" s="11">
        <f t="shared" si="2"/>
        <v>6.5948976804845714</v>
      </c>
      <c r="H10" s="7">
        <v>10518.836111111112</v>
      </c>
      <c r="I10" s="11">
        <f t="shared" si="3"/>
        <v>7.7807446405366107</v>
      </c>
      <c r="J10" s="7">
        <v>30624.961111111108</v>
      </c>
      <c r="K10" s="11">
        <f t="shared" si="4"/>
        <v>-4.0721799745663949</v>
      </c>
      <c r="L10" s="8">
        <v>3643.8222222222216</v>
      </c>
      <c r="M10" s="11">
        <f t="shared" si="5"/>
        <v>5.1996327465939745</v>
      </c>
    </row>
    <row r="11" spans="1:13" x14ac:dyDescent="0.3">
      <c r="A11" s="3" t="s">
        <v>16</v>
      </c>
      <c r="B11" s="7">
        <v>8893.75476190476</v>
      </c>
      <c r="C11" s="11">
        <f t="shared" si="0"/>
        <v>-15.341985559276333</v>
      </c>
      <c r="D11" s="7">
        <v>24993.985714285711</v>
      </c>
      <c r="E11" s="11">
        <f t="shared" si="1"/>
        <v>-5.5927723620039496</v>
      </c>
      <c r="F11" s="7">
        <v>14813.847619047618</v>
      </c>
      <c r="G11" s="11">
        <f t="shared" si="2"/>
        <v>-7.5648310179329101</v>
      </c>
      <c r="H11" s="7">
        <v>9730.6261904761905</v>
      </c>
      <c r="I11" s="11">
        <f t="shared" si="3"/>
        <v>-7.49331876938676</v>
      </c>
      <c r="J11" s="7">
        <v>28362.659523809529</v>
      </c>
      <c r="K11" s="11">
        <f t="shared" si="4"/>
        <v>-7.3871166043074217</v>
      </c>
      <c r="L11" s="8">
        <v>3390.8095238095239</v>
      </c>
      <c r="M11" s="11">
        <f t="shared" si="5"/>
        <v>-6.9436070966819958</v>
      </c>
    </row>
    <row r="12" spans="1:13" x14ac:dyDescent="0.3">
      <c r="A12" s="3" t="s">
        <v>17</v>
      </c>
      <c r="B12" s="7">
        <v>9132.0974999999999</v>
      </c>
      <c r="C12" s="11">
        <f t="shared" si="0"/>
        <v>2.6798888037271942</v>
      </c>
      <c r="D12" s="7">
        <v>26062.377500000006</v>
      </c>
      <c r="E12" s="11">
        <f t="shared" si="1"/>
        <v>4.2745954884003909</v>
      </c>
      <c r="F12" s="7">
        <v>14419.825000000001</v>
      </c>
      <c r="G12" s="11">
        <f t="shared" si="2"/>
        <v>-2.6598263272330636</v>
      </c>
      <c r="H12" s="7">
        <v>9452.2124999999996</v>
      </c>
      <c r="I12" s="11">
        <f t="shared" si="3"/>
        <v>-2.8612104198256745</v>
      </c>
      <c r="J12" s="7">
        <v>29194.719999999994</v>
      </c>
      <c r="K12" s="11">
        <f t="shared" si="4"/>
        <v>2.9336475851003234</v>
      </c>
      <c r="L12" s="8">
        <v>3322.6875</v>
      </c>
      <c r="M12" s="11">
        <f t="shared" si="5"/>
        <v>-2.0090194784220667</v>
      </c>
    </row>
    <row r="13" spans="1:13" x14ac:dyDescent="0.3">
      <c r="A13" s="3" t="s">
        <v>18</v>
      </c>
      <c r="B13" s="7">
        <v>9181.8050000000003</v>
      </c>
      <c r="C13" s="11">
        <f t="shared" si="0"/>
        <v>0.54431635229475417</v>
      </c>
      <c r="D13" s="7">
        <v>26795.75</v>
      </c>
      <c r="E13" s="11">
        <f t="shared" si="1"/>
        <v>2.8139125066390962</v>
      </c>
      <c r="F13" s="7">
        <v>14603.630000000001</v>
      </c>
      <c r="G13" s="11">
        <f t="shared" si="2"/>
        <v>1.2746687286426865</v>
      </c>
      <c r="H13" s="7">
        <v>8874.9675000000025</v>
      </c>
      <c r="I13" s="11">
        <f t="shared" si="3"/>
        <v>-6.106982888926769</v>
      </c>
      <c r="J13" s="7">
        <v>30182.837500000001</v>
      </c>
      <c r="K13" s="11">
        <f t="shared" si="4"/>
        <v>3.384576046627636</v>
      </c>
      <c r="L13" s="8">
        <v>3133.0150000000003</v>
      </c>
      <c r="M13" s="11">
        <f t="shared" si="5"/>
        <v>-5.7084062223726928</v>
      </c>
    </row>
    <row r="14" spans="1:13" x14ac:dyDescent="0.3">
      <c r="A14" s="3" t="s">
        <v>19</v>
      </c>
      <c r="B14" s="7">
        <v>8687.1152173913051</v>
      </c>
      <c r="C14" s="11">
        <f t="shared" si="0"/>
        <v>-5.3877182385020719</v>
      </c>
      <c r="D14" s="7">
        <v>27276.204347826086</v>
      </c>
      <c r="E14" s="11">
        <f t="shared" si="1"/>
        <v>1.7930244453918467</v>
      </c>
      <c r="F14" s="7">
        <v>14700.771739130438</v>
      </c>
      <c r="G14" s="11">
        <f t="shared" si="2"/>
        <v>0.66518899157563349</v>
      </c>
      <c r="H14" s="7">
        <v>8918.1630434782601</v>
      </c>
      <c r="I14" s="11">
        <f t="shared" si="3"/>
        <v>0.48671213137690467</v>
      </c>
      <c r="J14" s="7">
        <v>30294.445652173901</v>
      </c>
      <c r="K14" s="11">
        <f t="shared" si="4"/>
        <v>0.36977355814840046</v>
      </c>
      <c r="L14" s="8">
        <v>2947.5195652173911</v>
      </c>
      <c r="M14" s="11">
        <f t="shared" si="5"/>
        <v>-5.920668582263704</v>
      </c>
    </row>
    <row r="15" spans="1:13" x14ac:dyDescent="0.3">
      <c r="A15" s="3" t="s">
        <v>20</v>
      </c>
      <c r="B15" s="7">
        <v>8320.2724999999991</v>
      </c>
      <c r="C15" s="11">
        <f t="shared" si="0"/>
        <v>-4.2228370202446435</v>
      </c>
      <c r="D15" s="7">
        <v>27021.644999999997</v>
      </c>
      <c r="E15" s="11">
        <f t="shared" si="1"/>
        <v>-0.9332652908005411</v>
      </c>
      <c r="F15" s="7">
        <v>15831.927499999996</v>
      </c>
      <c r="G15" s="11">
        <f t="shared" si="2"/>
        <v>7.6945331914694926</v>
      </c>
      <c r="H15" s="7">
        <v>8893.7475000000013</v>
      </c>
      <c r="I15" s="11">
        <f t="shared" si="3"/>
        <v>-0.27377323512955448</v>
      </c>
      <c r="J15" s="7">
        <v>29496.792500000003</v>
      </c>
      <c r="K15" s="11">
        <f t="shared" si="4"/>
        <v>-2.6330013142744506</v>
      </c>
      <c r="L15" s="8">
        <v>2780.1875</v>
      </c>
      <c r="M15" s="11">
        <f t="shared" si="5"/>
        <v>-5.6770468020642211</v>
      </c>
    </row>
    <row r="16" spans="1:13" x14ac:dyDescent="0.3">
      <c r="A16" s="3" t="s">
        <v>21</v>
      </c>
      <c r="B16" s="7">
        <v>8530.1868421052641</v>
      </c>
      <c r="C16" s="11">
        <f t="shared" si="0"/>
        <v>2.5229262876337879</v>
      </c>
      <c r="D16" s="7">
        <v>28955.702631578944</v>
      </c>
      <c r="E16" s="11">
        <f t="shared" si="1"/>
        <v>7.1574385333644495</v>
      </c>
      <c r="F16" s="7">
        <v>15498.652631578949</v>
      </c>
      <c r="G16" s="11">
        <f t="shared" si="2"/>
        <v>-2.1050808148347535</v>
      </c>
      <c r="H16" s="7">
        <v>9231.7052631578936</v>
      </c>
      <c r="I16" s="11">
        <f t="shared" si="3"/>
        <v>3.799947807804215</v>
      </c>
      <c r="J16" s="7">
        <v>30090.557894736841</v>
      </c>
      <c r="K16" s="11">
        <f t="shared" si="4"/>
        <v>2.0129829191999029</v>
      </c>
      <c r="L16" s="8">
        <v>2995.6973684210525</v>
      </c>
      <c r="M16" s="11">
        <f t="shared" si="5"/>
        <v>7.7516307235052482</v>
      </c>
    </row>
    <row r="17" spans="1:13" x14ac:dyDescent="0.3">
      <c r="A17" s="3" t="s">
        <v>22</v>
      </c>
      <c r="B17" s="7">
        <v>8642.3315789473691</v>
      </c>
      <c r="C17" s="11">
        <f t="shared" si="0"/>
        <v>1.3146808964201711</v>
      </c>
      <c r="D17" s="7">
        <v>29972.526315789473</v>
      </c>
      <c r="E17" s="11">
        <f t="shared" si="1"/>
        <v>3.5116525996560899</v>
      </c>
      <c r="F17" s="7">
        <v>16101.181578947371</v>
      </c>
      <c r="G17" s="11">
        <f t="shared" si="2"/>
        <v>3.8876214706609553</v>
      </c>
      <c r="H17" s="7">
        <v>9427.8684210526353</v>
      </c>
      <c r="I17" s="11">
        <f t="shared" si="3"/>
        <v>2.1248854063570932</v>
      </c>
      <c r="J17" s="7">
        <v>30270.997368421064</v>
      </c>
      <c r="K17" s="11">
        <f t="shared" si="4"/>
        <v>0.59965479641633068</v>
      </c>
      <c r="L17" s="8">
        <v>3085.8973684210523</v>
      </c>
      <c r="M17" s="11">
        <f t="shared" si="5"/>
        <v>3.0109850531244313</v>
      </c>
    </row>
    <row r="18" spans="1:13" x14ac:dyDescent="0.3">
      <c r="A18" s="3" t="s">
        <v>23</v>
      </c>
      <c r="B18" s="7">
        <v>8196.363636363636</v>
      </c>
      <c r="C18" s="11">
        <f t="shared" si="0"/>
        <v>-5.1602734575714075</v>
      </c>
      <c r="D18" s="7">
        <v>30025.913636363635</v>
      </c>
      <c r="E18" s="11">
        <f t="shared" si="1"/>
        <v>0.17812085645258957</v>
      </c>
      <c r="F18" s="7">
        <v>15909.645454545454</v>
      </c>
      <c r="G18" s="11">
        <f t="shared" si="2"/>
        <v>-1.1895780658256427</v>
      </c>
      <c r="H18" s="7">
        <v>8819.447727272729</v>
      </c>
      <c r="I18" s="11">
        <f t="shared" si="3"/>
        <v>-6.4534279288549437</v>
      </c>
      <c r="J18" s="7">
        <v>29770.002272727274</v>
      </c>
      <c r="K18" s="11">
        <f t="shared" si="4"/>
        <v>-1.6550333297456266</v>
      </c>
      <c r="L18" s="8">
        <v>2910.693181818182</v>
      </c>
      <c r="M18" s="11">
        <f t="shared" si="5"/>
        <v>-5.6775765907119684</v>
      </c>
    </row>
    <row r="19" spans="1:13" x14ac:dyDescent="0.3">
      <c r="A19" s="3" t="s">
        <v>24</v>
      </c>
      <c r="B19" s="7">
        <v>8034.4315789473694</v>
      </c>
      <c r="C19" s="11">
        <f t="shared" si="0"/>
        <v>-1.9756573109792956</v>
      </c>
      <c r="D19" s="7">
        <v>30916.010526315793</v>
      </c>
      <c r="E19" s="11">
        <f t="shared" si="1"/>
        <v>2.9644289953401568</v>
      </c>
      <c r="F19" s="7">
        <v>16220.023684210528</v>
      </c>
      <c r="G19" s="11">
        <f t="shared" si="2"/>
        <v>1.9508808700472768</v>
      </c>
      <c r="H19" s="7">
        <v>8189.9000000000005</v>
      </c>
      <c r="I19" s="11">
        <f t="shared" si="3"/>
        <v>-7.1381762978871457</v>
      </c>
      <c r="J19" s="7">
        <v>29862.986842105263</v>
      </c>
      <c r="K19" s="11">
        <f t="shared" si="4"/>
        <v>0.31234317191562433</v>
      </c>
      <c r="L19" s="8">
        <v>2937.2605263157893</v>
      </c>
      <c r="M19" s="11">
        <f t="shared" si="5"/>
        <v>0.91274974166160261</v>
      </c>
    </row>
    <row r="20" spans="1:13" x14ac:dyDescent="0.3">
      <c r="A20" s="3" t="s">
        <v>25</v>
      </c>
      <c r="B20" s="7">
        <v>7471.7673913043473</v>
      </c>
      <c r="C20" s="11">
        <f t="shared" si="0"/>
        <v>-7.0031611087133001</v>
      </c>
      <c r="D20" s="7">
        <v>30202.126086956523</v>
      </c>
      <c r="E20" s="11">
        <f t="shared" si="1"/>
        <v>-2.3091091871365794</v>
      </c>
      <c r="F20" s="7">
        <v>15526.95652173913</v>
      </c>
      <c r="G20" s="11">
        <f t="shared" si="2"/>
        <v>-4.2729109153278726</v>
      </c>
      <c r="H20" s="7">
        <v>8168.2869565217397</v>
      </c>
      <c r="I20" s="11">
        <f t="shared" si="3"/>
        <v>-0.26389874697201193</v>
      </c>
      <c r="J20" s="7">
        <v>29303.228260869564</v>
      </c>
      <c r="K20" s="11">
        <f t="shared" si="4"/>
        <v>-1.874422622878662</v>
      </c>
      <c r="L20" s="8">
        <v>2789.9891304347821</v>
      </c>
      <c r="M20" s="11">
        <f t="shared" si="5"/>
        <v>-5.0139030760655752</v>
      </c>
    </row>
    <row r="21" spans="1:13" x14ac:dyDescent="0.3">
      <c r="A21" s="3" t="s">
        <v>26</v>
      </c>
      <c r="B21" s="7">
        <v>6966.2124999999996</v>
      </c>
      <c r="C21" s="11">
        <f t="shared" si="0"/>
        <v>-6.7662022226858003</v>
      </c>
      <c r="D21" s="7">
        <v>27847.3675</v>
      </c>
      <c r="E21" s="11">
        <f t="shared" si="1"/>
        <v>-7.7966649770841094</v>
      </c>
      <c r="F21" s="7">
        <v>15634.809999999998</v>
      </c>
      <c r="G21" s="11">
        <f t="shared" si="2"/>
        <v>0.69462085573475463</v>
      </c>
      <c r="H21" s="7">
        <v>7897.5325000000012</v>
      </c>
      <c r="I21" s="11">
        <f t="shared" si="3"/>
        <v>-3.3147030456069162</v>
      </c>
      <c r="J21" s="7">
        <v>28810.324999999993</v>
      </c>
      <c r="K21" s="11">
        <f t="shared" si="4"/>
        <v>-1.6820783583349252</v>
      </c>
      <c r="L21" s="8">
        <v>2352.2025000000003</v>
      </c>
      <c r="M21" s="11">
        <f t="shared" si="5"/>
        <v>-15.691338208423723</v>
      </c>
    </row>
    <row r="22" spans="1:13" x14ac:dyDescent="0.3">
      <c r="A22" s="3" t="s">
        <v>27</v>
      </c>
      <c r="B22" s="7">
        <v>7292.1578947368425</v>
      </c>
      <c r="C22" s="11">
        <f t="shared" si="0"/>
        <v>4.6789470567663978</v>
      </c>
      <c r="D22" s="7">
        <v>28238.423684210527</v>
      </c>
      <c r="E22" s="11">
        <f t="shared" si="1"/>
        <v>1.4042842082309115</v>
      </c>
      <c r="F22" s="7">
        <v>15628.602631578942</v>
      </c>
      <c r="G22" s="11">
        <f t="shared" si="2"/>
        <v>-3.9702231245889369E-2</v>
      </c>
      <c r="H22" s="7">
        <v>8019.5184210526304</v>
      </c>
      <c r="I22" s="11">
        <f t="shared" si="3"/>
        <v>1.5446080285535921</v>
      </c>
      <c r="J22" s="7">
        <v>29513.755263157895</v>
      </c>
      <c r="K22" s="11">
        <f t="shared" si="4"/>
        <v>2.4415908642401689</v>
      </c>
      <c r="L22" s="8">
        <v>2405.2447368421049</v>
      </c>
      <c r="M22" s="11">
        <f t="shared" si="5"/>
        <v>2.2550029957924349</v>
      </c>
    </row>
    <row r="23" spans="1:13" x14ac:dyDescent="0.3">
      <c r="A23" s="3" t="s">
        <v>28</v>
      </c>
      <c r="B23" s="7">
        <v>7804.9475000000002</v>
      </c>
      <c r="C23" s="11">
        <f t="shared" si="0"/>
        <v>7.032069418481278</v>
      </c>
      <c r="D23" s="7">
        <v>28884.204999999998</v>
      </c>
      <c r="E23" s="11">
        <f t="shared" si="1"/>
        <v>2.2868886840541256</v>
      </c>
      <c r="F23" s="7">
        <v>15176.397499999997</v>
      </c>
      <c r="G23" s="11">
        <f t="shared" si="2"/>
        <v>-2.8934457048976689</v>
      </c>
      <c r="H23" s="7">
        <v>7597.7624999999998</v>
      </c>
      <c r="I23" s="11">
        <f t="shared" si="3"/>
        <v>-5.2591178037006303</v>
      </c>
      <c r="J23" s="7">
        <v>31178.340000000004</v>
      </c>
      <c r="K23" s="11">
        <f t="shared" si="4"/>
        <v>5.6400302909606861</v>
      </c>
      <c r="L23" s="8">
        <v>2395.3374999999996</v>
      </c>
      <c r="M23" s="11">
        <f t="shared" si="5"/>
        <v>-0.4119014040588927</v>
      </c>
    </row>
    <row r="24" spans="1:13" x14ac:dyDescent="0.3">
      <c r="A24" s="3" t="s">
        <v>29</v>
      </c>
      <c r="B24" s="7">
        <v>8165.0699999999979</v>
      </c>
      <c r="C24" s="11">
        <f t="shared" si="0"/>
        <v>4.6140284736059742</v>
      </c>
      <c r="D24" s="7">
        <v>31077.705000000005</v>
      </c>
      <c r="E24" s="11">
        <f t="shared" si="1"/>
        <v>7.5941158844427505</v>
      </c>
      <c r="F24" s="7">
        <v>15289.347499999998</v>
      </c>
      <c r="G24" s="11">
        <f t="shared" si="2"/>
        <v>0.74424777026300704</v>
      </c>
      <c r="H24" s="7">
        <v>8038.3974999999991</v>
      </c>
      <c r="I24" s="11">
        <f t="shared" si="3"/>
        <v>5.7995363766635153</v>
      </c>
      <c r="J24" s="7">
        <v>31529.499999999993</v>
      </c>
      <c r="K24" s="11">
        <f t="shared" si="4"/>
        <v>1.1262947289688576</v>
      </c>
      <c r="L24" s="8">
        <v>2577.0149999999999</v>
      </c>
      <c r="M24" s="11">
        <f t="shared" si="5"/>
        <v>7.584630558324255</v>
      </c>
    </row>
    <row r="25" spans="1:13" x14ac:dyDescent="0.3">
      <c r="A25" s="3" t="s">
        <v>30</v>
      </c>
      <c r="B25" s="7">
        <v>8042.4214285714279</v>
      </c>
      <c r="C25" s="11">
        <f t="shared" si="0"/>
        <v>-1.5021129203861086</v>
      </c>
      <c r="D25" s="7">
        <v>31926.85476190476</v>
      </c>
      <c r="E25" s="11">
        <f t="shared" si="1"/>
        <v>2.7323438519824896</v>
      </c>
      <c r="F25" s="7">
        <v>15424.971428571427</v>
      </c>
      <c r="G25" s="11">
        <f t="shared" si="2"/>
        <v>0.88704850597076912</v>
      </c>
      <c r="H25" s="7">
        <v>8096.6142857142859</v>
      </c>
      <c r="I25" s="11">
        <f t="shared" si="3"/>
        <v>0.72423372586745993</v>
      </c>
      <c r="J25" s="7">
        <v>30334.511904761912</v>
      </c>
      <c r="K25" s="11">
        <f t="shared" si="4"/>
        <v>-3.7900635761368915</v>
      </c>
      <c r="L25" s="8">
        <v>2643.9571428571426</v>
      </c>
      <c r="M25" s="11">
        <f t="shared" si="5"/>
        <v>2.5976621345682003</v>
      </c>
    </row>
    <row r="26" spans="1:13" x14ac:dyDescent="0.3">
      <c r="A26" s="3" t="s">
        <v>31</v>
      </c>
      <c r="B26" s="7">
        <v>8211.8000000000011</v>
      </c>
      <c r="C26" s="11">
        <f t="shared" si="0"/>
        <v>2.1060643605026783</v>
      </c>
      <c r="D26" s="7">
        <v>31446.391304347835</v>
      </c>
      <c r="E26" s="11">
        <f t="shared" si="1"/>
        <v>-1.5048881612047049</v>
      </c>
      <c r="F26" s="7">
        <v>16177.997826086958</v>
      </c>
      <c r="G26" s="11">
        <f t="shared" si="2"/>
        <v>4.8818657525725566</v>
      </c>
      <c r="H26" s="7">
        <v>8254.1456521739128</v>
      </c>
      <c r="I26" s="11">
        <f t="shared" si="3"/>
        <v>1.945644943684377</v>
      </c>
      <c r="J26" s="7">
        <v>30791.56739130435</v>
      </c>
      <c r="K26" s="11">
        <f t="shared" si="4"/>
        <v>1.5067177872431492</v>
      </c>
      <c r="L26" s="8">
        <v>2786.9630434782612</v>
      </c>
      <c r="M26" s="11">
        <f t="shared" si="5"/>
        <v>5.4087828544218368</v>
      </c>
    </row>
    <row r="27" spans="1:13" x14ac:dyDescent="0.3">
      <c r="A27" s="3" t="s">
        <v>32</v>
      </c>
      <c r="B27" s="7">
        <v>7733.2824999999984</v>
      </c>
      <c r="C27" s="11">
        <f t="shared" si="0"/>
        <v>-5.8271937942960452</v>
      </c>
      <c r="D27" s="7">
        <v>30675.427500000002</v>
      </c>
      <c r="E27" s="11">
        <f t="shared" si="1"/>
        <v>-2.4516765592789613</v>
      </c>
      <c r="F27" s="7">
        <v>16411.647499999999</v>
      </c>
      <c r="G27" s="11">
        <f t="shared" si="2"/>
        <v>1.4442434498061463</v>
      </c>
      <c r="H27" s="7">
        <v>8234.0875000000015</v>
      </c>
      <c r="I27" s="11">
        <f t="shared" si="3"/>
        <v>-0.24300700543888037</v>
      </c>
      <c r="J27" s="7">
        <v>30468.122500000005</v>
      </c>
      <c r="K27" s="11">
        <f t="shared" si="4"/>
        <v>-1.0504333449283496</v>
      </c>
      <c r="L27" s="8">
        <v>2561.8450000000003</v>
      </c>
      <c r="M27" s="11">
        <f t="shared" si="5"/>
        <v>-8.0775396001413426</v>
      </c>
    </row>
    <row r="28" spans="1:13" x14ac:dyDescent="0.3">
      <c r="A28" s="3" t="s">
        <v>33</v>
      </c>
      <c r="B28" s="7">
        <v>5781.8238095238084</v>
      </c>
      <c r="C28" s="11">
        <f t="shared" si="0"/>
        <v>-25.234545491855371</v>
      </c>
      <c r="D28" s="7">
        <v>22936.040476190479</v>
      </c>
      <c r="E28" s="11">
        <f t="shared" si="1"/>
        <v>-25.229923931164521</v>
      </c>
      <c r="F28" s="7">
        <v>13356.3</v>
      </c>
      <c r="G28" s="11">
        <f t="shared" si="2"/>
        <v>-18.616945678366541</v>
      </c>
      <c r="H28" s="7">
        <v>7396.2095238095253</v>
      </c>
      <c r="I28" s="11">
        <f t="shared" si="3"/>
        <v>-10.175723493228315</v>
      </c>
      <c r="J28" s="7">
        <v>26407.204761904763</v>
      </c>
      <c r="K28" s="11">
        <f t="shared" si="4"/>
        <v>-13.328414765613608</v>
      </c>
      <c r="L28" s="8">
        <v>1814.5761904761905</v>
      </c>
      <c r="M28" s="11">
        <f t="shared" si="5"/>
        <v>-29.16916556324874</v>
      </c>
    </row>
    <row r="29" spans="1:13" x14ac:dyDescent="0.3">
      <c r="A29" s="3" t="s">
        <v>34</v>
      </c>
      <c r="B29" s="7">
        <v>5335.9111111111115</v>
      </c>
      <c r="C29" s="11">
        <f t="shared" si="0"/>
        <v>-7.7123190381241029</v>
      </c>
      <c r="D29" s="7">
        <v>19715.116666666665</v>
      </c>
      <c r="E29" s="11">
        <f t="shared" si="1"/>
        <v>-14.04306821339717</v>
      </c>
      <c r="F29" s="7">
        <v>12750.766666666666</v>
      </c>
      <c r="G29" s="11">
        <f t="shared" si="2"/>
        <v>-4.5336907177386916</v>
      </c>
      <c r="H29" s="7">
        <v>9097.2527777777796</v>
      </c>
      <c r="I29" s="11">
        <f t="shared" si="3"/>
        <v>22.998851621122103</v>
      </c>
      <c r="J29" s="7">
        <v>28622.122222222224</v>
      </c>
      <c r="K29" s="11">
        <f t="shared" si="4"/>
        <v>8.3875498383407798</v>
      </c>
      <c r="L29" s="8">
        <v>1693.3083333333334</v>
      </c>
      <c r="M29" s="11">
        <f t="shared" si="5"/>
        <v>-6.6829851388622794</v>
      </c>
    </row>
    <row r="30" spans="1:13" x14ac:dyDescent="0.3">
      <c r="A30" s="3" t="s">
        <v>35</v>
      </c>
      <c r="B30" s="7">
        <v>5702.6052631578941</v>
      </c>
      <c r="C30" s="11">
        <f t="shared" si="0"/>
        <v>6.8721937905450767</v>
      </c>
      <c r="D30" s="7">
        <v>18707.215789473685</v>
      </c>
      <c r="E30" s="11">
        <f t="shared" si="1"/>
        <v>-5.1123251981414279</v>
      </c>
      <c r="F30" s="7">
        <v>13569.336842105264</v>
      </c>
      <c r="G30" s="11">
        <f t="shared" si="2"/>
        <v>6.4197722132153938</v>
      </c>
      <c r="H30" s="7">
        <v>9443.1026315789477</v>
      </c>
      <c r="I30" s="11">
        <f t="shared" si="3"/>
        <v>3.8016955475392451</v>
      </c>
      <c r="J30" s="7">
        <v>27325.952631578948</v>
      </c>
      <c r="K30" s="11">
        <f t="shared" si="4"/>
        <v>-4.5285586462800076</v>
      </c>
      <c r="L30" s="8">
        <v>1732.8973684210528</v>
      </c>
      <c r="M30" s="11">
        <f t="shared" si="5"/>
        <v>2.3379696602441591</v>
      </c>
    </row>
    <row r="31" spans="1:13" x14ac:dyDescent="0.3">
      <c r="A31" s="3" t="s">
        <v>36</v>
      </c>
      <c r="B31" s="7">
        <v>6582.5818181818177</v>
      </c>
      <c r="C31" s="11">
        <f t="shared" si="0"/>
        <v>15.431132165311837</v>
      </c>
      <c r="D31" s="7">
        <v>20953.67954545455</v>
      </c>
      <c r="E31" s="11">
        <f t="shared" si="1"/>
        <v>12.00854141664909</v>
      </c>
      <c r="F31" s="7">
        <v>14585.154545454547</v>
      </c>
      <c r="G31" s="11">
        <f t="shared" si="2"/>
        <v>7.4861263683662829</v>
      </c>
      <c r="H31" s="7">
        <v>10161.393181818181</v>
      </c>
      <c r="I31" s="11">
        <f t="shared" si="3"/>
        <v>7.6065100450902365</v>
      </c>
      <c r="J31" s="7">
        <v>29321.377272727281</v>
      </c>
      <c r="K31" s="11">
        <f t="shared" si="4"/>
        <v>7.3023058630436966</v>
      </c>
      <c r="L31" s="8">
        <v>1997.1386363636361</v>
      </c>
      <c r="M31" s="11">
        <f t="shared" si="5"/>
        <v>15.248523816696052</v>
      </c>
    </row>
    <row r="32" spans="1:13" x14ac:dyDescent="0.3">
      <c r="A32" s="3" t="s">
        <v>37</v>
      </c>
      <c r="B32" s="7">
        <v>7127.619565217391</v>
      </c>
      <c r="C32" s="11">
        <f t="shared" si="0"/>
        <v>8.2799995820806807</v>
      </c>
      <c r="D32" s="7">
        <v>22171.15</v>
      </c>
      <c r="E32" s="11">
        <f t="shared" si="1"/>
        <v>5.8102943299500618</v>
      </c>
      <c r="F32" s="7">
        <v>16532.015217391305</v>
      </c>
      <c r="G32" s="11">
        <f t="shared" si="2"/>
        <v>13.34823478125911</v>
      </c>
      <c r="H32" s="7">
        <v>10293.669565217393</v>
      </c>
      <c r="I32" s="11">
        <f t="shared" si="3"/>
        <v>1.3017544054480124</v>
      </c>
      <c r="J32" s="7">
        <v>30898.141304347821</v>
      </c>
      <c r="K32" s="11">
        <f t="shared" si="4"/>
        <v>5.3775237668905023</v>
      </c>
      <c r="L32" s="8">
        <v>2084.9456521739135</v>
      </c>
      <c r="M32" s="11">
        <f t="shared" si="5"/>
        <v>4.3966409848319392</v>
      </c>
    </row>
    <row r="33" spans="1:13" x14ac:dyDescent="0.3">
      <c r="A33" s="3" t="s">
        <v>38</v>
      </c>
      <c r="B33" s="7">
        <v>7785.3738095238114</v>
      </c>
      <c r="C33" s="11">
        <f t="shared" si="0"/>
        <v>9.2282456756845566</v>
      </c>
      <c r="D33" s="7">
        <v>22352.885714285712</v>
      </c>
      <c r="E33" s="11">
        <f t="shared" si="1"/>
        <v>0.81969457734808915</v>
      </c>
      <c r="F33" s="7">
        <v>18067.207142857143</v>
      </c>
      <c r="G33" s="11">
        <f t="shared" si="2"/>
        <v>9.2861753711117547</v>
      </c>
      <c r="H33" s="7">
        <v>11663.678571428572</v>
      </c>
      <c r="I33" s="11">
        <f t="shared" si="3"/>
        <v>13.309238241340868</v>
      </c>
      <c r="J33" s="7">
        <v>31371.952380952385</v>
      </c>
      <c r="K33" s="11">
        <f t="shared" si="4"/>
        <v>1.533461420664461</v>
      </c>
      <c r="L33" s="8">
        <v>2411.0047619047623</v>
      </c>
      <c r="M33" s="11">
        <f t="shared" si="5"/>
        <v>15.638734246663757</v>
      </c>
    </row>
    <row r="34" spans="1:13" x14ac:dyDescent="0.3">
      <c r="A34" s="3" t="s">
        <v>39</v>
      </c>
      <c r="B34" s="7">
        <v>7914.4409090909094</v>
      </c>
      <c r="C34" s="11">
        <f t="shared" si="0"/>
        <v>1.6578150609699798</v>
      </c>
      <c r="D34" s="7">
        <v>22194.343181818178</v>
      </c>
      <c r="E34" s="11">
        <f t="shared" si="1"/>
        <v>-0.70927098404216293</v>
      </c>
      <c r="F34" s="7">
        <v>19104.24090909091</v>
      </c>
      <c r="G34" s="11">
        <f t="shared" si="2"/>
        <v>5.7398675845909946</v>
      </c>
      <c r="H34" s="7">
        <v>11708.975000000002</v>
      </c>
      <c r="I34" s="11">
        <f t="shared" si="3"/>
        <v>0.38835456836394788</v>
      </c>
      <c r="J34" s="7">
        <v>30357.520454545451</v>
      </c>
      <c r="K34" s="11">
        <f t="shared" si="4"/>
        <v>-3.2335632608662608</v>
      </c>
      <c r="L34" s="8">
        <v>2345.1772727272723</v>
      </c>
      <c r="M34" s="11">
        <f t="shared" si="5"/>
        <v>-2.7302927898609526</v>
      </c>
    </row>
    <row r="35" spans="1:13" x14ac:dyDescent="0.3">
      <c r="A35" s="3" t="s">
        <v>40</v>
      </c>
      <c r="B35" s="7">
        <v>7975.0785714285739</v>
      </c>
      <c r="C35" s="11">
        <f t="shared" si="0"/>
        <v>0.76616482495956473</v>
      </c>
      <c r="D35" s="7">
        <v>23733.585714285713</v>
      </c>
      <c r="E35" s="11">
        <f t="shared" si="1"/>
        <v>6.9352921141117507</v>
      </c>
      <c r="F35" s="7">
        <v>21374.609523809522</v>
      </c>
      <c r="G35" s="11">
        <f t="shared" si="2"/>
        <v>11.884107960752521</v>
      </c>
      <c r="H35" s="7">
        <v>11871.916666666668</v>
      </c>
      <c r="I35" s="11">
        <f t="shared" si="3"/>
        <v>1.3915963324429821</v>
      </c>
      <c r="J35" s="7">
        <v>29896.428571428572</v>
      </c>
      <c r="K35" s="11">
        <f t="shared" si="4"/>
        <v>-1.5188720165972538</v>
      </c>
      <c r="L35" s="8">
        <v>2319.6976190476184</v>
      </c>
      <c r="M35" s="11">
        <f t="shared" si="5"/>
        <v>-1.0864702628651559</v>
      </c>
    </row>
    <row r="36" spans="1:13" x14ac:dyDescent="0.3">
      <c r="A36" s="3" t="s">
        <v>41</v>
      </c>
      <c r="B36" s="7">
        <v>8366.09</v>
      </c>
      <c r="C36" s="11">
        <f t="shared" si="0"/>
        <v>4.9029163169910239</v>
      </c>
      <c r="D36" s="7">
        <v>28198.484999999997</v>
      </c>
      <c r="E36" s="11">
        <f t="shared" si="1"/>
        <v>18.812577835749334</v>
      </c>
      <c r="F36" s="7">
        <v>21433.0975</v>
      </c>
      <c r="G36" s="11">
        <f t="shared" si="2"/>
        <v>0.27363295748316213</v>
      </c>
      <c r="H36" s="7">
        <v>11739.495000000003</v>
      </c>
      <c r="I36" s="11">
        <f t="shared" si="3"/>
        <v>-1.1154194422411314</v>
      </c>
      <c r="J36" s="7">
        <v>30877.464999999997</v>
      </c>
      <c r="K36" s="11">
        <f t="shared" si="4"/>
        <v>3.281450244893068</v>
      </c>
      <c r="L36" s="8">
        <v>2661.915</v>
      </c>
      <c r="M36" s="11">
        <f t="shared" si="5"/>
        <v>14.752671992347141</v>
      </c>
    </row>
    <row r="37" spans="1:13" x14ac:dyDescent="0.3">
      <c r="A37" s="3" t="s">
        <v>42</v>
      </c>
      <c r="B37" s="7">
        <v>9122.8568181818191</v>
      </c>
      <c r="C37" s="11">
        <f t="shared" si="0"/>
        <v>9.0456451960452124</v>
      </c>
      <c r="D37" s="7">
        <v>30405.259090909094</v>
      </c>
      <c r="E37" s="11">
        <f t="shared" si="1"/>
        <v>7.8258604705504471</v>
      </c>
      <c r="F37" s="7">
        <v>23108.593181818178</v>
      </c>
      <c r="G37" s="11">
        <f t="shared" si="2"/>
        <v>7.8173286983749231</v>
      </c>
      <c r="H37" s="7">
        <v>12634.770454545454</v>
      </c>
      <c r="I37" s="11">
        <f t="shared" si="3"/>
        <v>7.626183703348838</v>
      </c>
      <c r="J37" s="7">
        <v>33507.277272727275</v>
      </c>
      <c r="K37" s="11">
        <f t="shared" si="4"/>
        <v>8.5169306247364496</v>
      </c>
      <c r="L37" s="8">
        <v>3153.4795454545456</v>
      </c>
      <c r="M37" s="11">
        <f t="shared" si="5"/>
        <v>18.466575583914047</v>
      </c>
    </row>
    <row r="38" spans="1:13" x14ac:dyDescent="0.3">
      <c r="A38" s="3" t="s">
        <v>43</v>
      </c>
      <c r="B38" s="7">
        <v>9965.5400000000009</v>
      </c>
      <c r="C38" s="11">
        <f t="shared" si="0"/>
        <v>9.2370536840906841</v>
      </c>
      <c r="D38" s="7">
        <v>31710.947499999998</v>
      </c>
      <c r="E38" s="11">
        <f t="shared" si="1"/>
        <v>4.2942847656288965</v>
      </c>
      <c r="F38" s="7">
        <v>25993.272499999999</v>
      </c>
      <c r="G38" s="11">
        <f t="shared" si="2"/>
        <v>12.483145535884393</v>
      </c>
      <c r="H38" s="7">
        <v>13057.622499999996</v>
      </c>
      <c r="I38" s="11">
        <f t="shared" si="3"/>
        <v>3.3467331042996289</v>
      </c>
      <c r="J38" s="7">
        <v>34378.557499999995</v>
      </c>
      <c r="K38" s="11">
        <f t="shared" si="4"/>
        <v>2.6002716370568413</v>
      </c>
      <c r="L38" s="8">
        <v>3368.6875</v>
      </c>
      <c r="M38" s="11">
        <f t="shared" si="5"/>
        <v>6.8244601381878987</v>
      </c>
    </row>
    <row r="39" spans="1:13" x14ac:dyDescent="0.3">
      <c r="A39" s="3" t="s">
        <v>44</v>
      </c>
      <c r="B39" s="7">
        <v>10703.025000000001</v>
      </c>
      <c r="C39" s="11">
        <f t="shared" si="0"/>
        <v>7.4003516116537646</v>
      </c>
      <c r="D39" s="7">
        <v>35736.11</v>
      </c>
      <c r="E39" s="11">
        <f t="shared" si="1"/>
        <v>12.693289911946032</v>
      </c>
      <c r="F39" s="7">
        <v>25410.8825</v>
      </c>
      <c r="G39" s="11">
        <f t="shared" si="2"/>
        <v>-2.2405412785173526</v>
      </c>
      <c r="H39" s="7">
        <v>12673.48</v>
      </c>
      <c r="I39" s="11">
        <f t="shared" si="3"/>
        <v>-2.9419023256339076</v>
      </c>
      <c r="J39" s="7">
        <v>33694.377500000002</v>
      </c>
      <c r="K39" s="11">
        <f t="shared" si="4"/>
        <v>-1.9901358572127208</v>
      </c>
      <c r="L39" s="8">
        <v>3550.16</v>
      </c>
      <c r="M39" s="11">
        <f t="shared" si="5"/>
        <v>5.3870387205699508</v>
      </c>
    </row>
    <row r="40" spans="1:13" x14ac:dyDescent="0.3">
      <c r="A40" s="3" t="s">
        <v>45</v>
      </c>
      <c r="B40" s="7">
        <v>10260.619047619048</v>
      </c>
      <c r="C40" s="11">
        <f t="shared" si="0"/>
        <v>-4.1334664955090146</v>
      </c>
      <c r="D40" s="7">
        <v>34643.347619047614</v>
      </c>
      <c r="E40" s="11">
        <f t="shared" si="1"/>
        <v>-3.0578660658711501</v>
      </c>
      <c r="F40" s="7">
        <v>25684.699999999997</v>
      </c>
      <c r="G40" s="11">
        <f t="shared" si="2"/>
        <v>1.0775599784855854</v>
      </c>
      <c r="H40" s="7">
        <v>12154.364285714284</v>
      </c>
      <c r="I40" s="11">
        <f t="shared" si="3"/>
        <v>-4.0960786957151116</v>
      </c>
      <c r="J40" s="7">
        <v>33602.459523809528</v>
      </c>
      <c r="K40" s="11">
        <f t="shared" si="4"/>
        <v>-0.27279915229321061</v>
      </c>
      <c r="L40" s="8">
        <v>3864.4928571428572</v>
      </c>
      <c r="M40" s="11">
        <f t="shared" si="5"/>
        <v>8.854047624412912</v>
      </c>
    </row>
    <row r="41" spans="1:13" x14ac:dyDescent="0.3">
      <c r="A41" s="3" t="s">
        <v>46</v>
      </c>
      <c r="B41" s="7">
        <v>9745.5631578947359</v>
      </c>
      <c r="C41" s="11">
        <f t="shared" si="0"/>
        <v>-5.0197350406828454</v>
      </c>
      <c r="D41" s="7">
        <v>32366.831578947364</v>
      </c>
      <c r="E41" s="11">
        <f t="shared" si="1"/>
        <v>-6.5712934706361219</v>
      </c>
      <c r="F41" s="7">
        <v>26200.655263157896</v>
      </c>
      <c r="G41" s="11">
        <f t="shared" si="2"/>
        <v>2.0088039305808483</v>
      </c>
      <c r="H41" s="7">
        <v>13151.505263157893</v>
      </c>
      <c r="I41" s="11">
        <f t="shared" si="3"/>
        <v>8.2039747534604128</v>
      </c>
      <c r="J41" s="7">
        <v>34415.007894736846</v>
      </c>
      <c r="K41" s="11">
        <f t="shared" si="4"/>
        <v>2.4181217162141784</v>
      </c>
      <c r="L41" s="8">
        <v>4450.4026315789461</v>
      </c>
      <c r="M41" s="11">
        <f t="shared" si="5"/>
        <v>15.161362592587906</v>
      </c>
    </row>
    <row r="42" spans="1:13" x14ac:dyDescent="0.3">
      <c r="A42" s="3" t="s">
        <v>47</v>
      </c>
      <c r="B42" s="7">
        <v>10102.502500000001</v>
      </c>
      <c r="C42" s="11">
        <f t="shared" si="0"/>
        <v>3.6625830269861144</v>
      </c>
      <c r="D42" s="7">
        <v>33647.490000000005</v>
      </c>
      <c r="E42" s="11">
        <f t="shared" si="1"/>
        <v>3.9566999875441358</v>
      </c>
      <c r="F42" s="7">
        <v>26187.317500000001</v>
      </c>
      <c r="G42" s="11">
        <f t="shared" si="2"/>
        <v>-5.0906219802258228E-2</v>
      </c>
      <c r="H42" s="7">
        <v>14042.125</v>
      </c>
      <c r="I42" s="11">
        <f t="shared" si="3"/>
        <v>6.7719984824630997</v>
      </c>
      <c r="J42" s="7">
        <v>34480.952499999999</v>
      </c>
      <c r="K42" s="11">
        <f t="shared" si="4"/>
        <v>0.19161583651195044</v>
      </c>
      <c r="L42" s="8">
        <v>5148.5549999999994</v>
      </c>
      <c r="M42" s="11">
        <f t="shared" si="5"/>
        <v>15.687397887713313</v>
      </c>
    </row>
    <row r="43" spans="1:13" x14ac:dyDescent="0.3">
      <c r="A43" s="3" t="s">
        <v>48</v>
      </c>
      <c r="B43" s="7">
        <v>10650.618181818181</v>
      </c>
      <c r="C43" s="11">
        <f t="shared" si="0"/>
        <v>5.4255436394911136</v>
      </c>
      <c r="D43" s="7">
        <v>35047.672727272729</v>
      </c>
      <c r="E43" s="11">
        <f t="shared" si="1"/>
        <v>4.1613289052845364</v>
      </c>
      <c r="F43" s="7">
        <v>28153.218181818178</v>
      </c>
      <c r="G43" s="11">
        <f t="shared" si="2"/>
        <v>7.5070716266306281</v>
      </c>
      <c r="H43" s="7">
        <v>14264.277272727275</v>
      </c>
      <c r="I43" s="11">
        <f t="shared" si="3"/>
        <v>1.5820416975869036</v>
      </c>
      <c r="J43" s="7">
        <v>35836.363636363632</v>
      </c>
      <c r="K43" s="11">
        <f t="shared" si="4"/>
        <v>3.9308981860742769</v>
      </c>
      <c r="L43" s="8">
        <v>5220.5636363636359</v>
      </c>
      <c r="M43" s="11">
        <f t="shared" si="5"/>
        <v>1.398618376683098</v>
      </c>
    </row>
    <row r="44" spans="1:13" x14ac:dyDescent="0.3">
      <c r="A44" s="3" t="s">
        <v>49</v>
      </c>
      <c r="B44" s="7">
        <v>10360.695238095239</v>
      </c>
      <c r="C44" s="11">
        <f t="shared" si="0"/>
        <v>-2.7221231554227892</v>
      </c>
      <c r="D44" s="7">
        <v>35112.60238095239</v>
      </c>
      <c r="E44" s="11">
        <f t="shared" si="1"/>
        <v>0.18526095636910941</v>
      </c>
      <c r="F44" s="7">
        <v>29334.11428571428</v>
      </c>
      <c r="G44" s="11">
        <f t="shared" si="2"/>
        <v>4.1945332724297391</v>
      </c>
      <c r="H44" s="7">
        <v>14524.007142857141</v>
      </c>
      <c r="I44" s="11">
        <f t="shared" si="3"/>
        <v>1.8208414290043213</v>
      </c>
      <c r="J44" s="7">
        <v>36246.235714285714</v>
      </c>
      <c r="K44" s="11">
        <f t="shared" si="4"/>
        <v>1.1437323331159064</v>
      </c>
      <c r="L44" s="8">
        <v>5342.692857142858</v>
      </c>
      <c r="M44" s="11">
        <f t="shared" si="5"/>
        <v>2.3393876463555721</v>
      </c>
    </row>
    <row r="45" spans="1:13" x14ac:dyDescent="0.3">
      <c r="A45" s="3" t="s">
        <v>50</v>
      </c>
      <c r="B45" s="7">
        <v>10059.233333333334</v>
      </c>
      <c r="C45" s="11">
        <f t="shared" si="0"/>
        <v>-2.9096686837526122</v>
      </c>
      <c r="D45" s="7">
        <v>35740.761904761908</v>
      </c>
      <c r="E45" s="11">
        <f t="shared" si="1"/>
        <v>1.7889859515234248</v>
      </c>
      <c r="F45" s="7">
        <v>32708.290476190468</v>
      </c>
      <c r="G45" s="11">
        <f t="shared" si="2"/>
        <v>11.502567139446281</v>
      </c>
      <c r="H45" s="7">
        <v>14289.190476190479</v>
      </c>
      <c r="I45" s="11">
        <f t="shared" si="3"/>
        <v>-1.616748493422107</v>
      </c>
      <c r="J45" s="7">
        <v>37524.107142857138</v>
      </c>
      <c r="K45" s="11">
        <f t="shared" si="4"/>
        <v>3.5255286608087038</v>
      </c>
      <c r="L45" s="8">
        <v>5654.3023809523811</v>
      </c>
      <c r="M45" s="11">
        <f t="shared" si="5"/>
        <v>5.8324431544463575</v>
      </c>
    </row>
    <row r="46" spans="1:13" x14ac:dyDescent="0.3">
      <c r="A46" s="3" t="s">
        <v>51</v>
      </c>
      <c r="B46" s="7">
        <v>10295.902380952382</v>
      </c>
      <c r="C46" s="11">
        <f t="shared" si="0"/>
        <v>2.3527543280539813</v>
      </c>
      <c r="D46" s="7">
        <v>37157.595238095244</v>
      </c>
      <c r="E46" s="11">
        <f t="shared" si="1"/>
        <v>3.9641945437782189</v>
      </c>
      <c r="F46" s="7">
        <v>35479.888095238093</v>
      </c>
      <c r="G46" s="11">
        <f t="shared" si="2"/>
        <v>8.4736853522356057</v>
      </c>
      <c r="H46" s="7">
        <v>14450.185714285715</v>
      </c>
      <c r="I46" s="11">
        <f t="shared" si="3"/>
        <v>1.1266925048238139</v>
      </c>
      <c r="J46" s="7">
        <v>40670.447619047613</v>
      </c>
      <c r="K46" s="11">
        <f t="shared" si="4"/>
        <v>8.3848510084786732</v>
      </c>
      <c r="L46" s="8">
        <v>5649.5714285714294</v>
      </c>
      <c r="M46" s="11">
        <f t="shared" si="5"/>
        <v>-8.3669957179666993E-2</v>
      </c>
    </row>
    <row r="47" spans="1:13" x14ac:dyDescent="0.3">
      <c r="A47" s="3" t="s">
        <v>52</v>
      </c>
      <c r="B47" s="7">
        <v>11284.55</v>
      </c>
      <c r="C47" s="11">
        <f t="shared" si="0"/>
        <v>9.602340644532859</v>
      </c>
      <c r="D47" s="7">
        <v>39070.772500000006</v>
      </c>
      <c r="E47" s="11">
        <f t="shared" si="1"/>
        <v>5.1488188340652021</v>
      </c>
      <c r="F47" s="7">
        <v>35513.727499999994</v>
      </c>
      <c r="G47" s="11">
        <f t="shared" si="2"/>
        <v>9.5376300711732226E-2</v>
      </c>
      <c r="H47" s="7">
        <v>14509.4125</v>
      </c>
      <c r="I47" s="11">
        <f t="shared" si="3"/>
        <v>0.40986868186567649</v>
      </c>
      <c r="J47" s="7">
        <v>39886.71</v>
      </c>
      <c r="K47" s="11">
        <f t="shared" si="4"/>
        <v>-1.9270444879012285</v>
      </c>
      <c r="L47" s="8">
        <v>5799.4950000000008</v>
      </c>
      <c r="M47" s="11">
        <f t="shared" si="5"/>
        <v>2.6537158317950791</v>
      </c>
    </row>
    <row r="48" spans="1:13" x14ac:dyDescent="0.3">
      <c r="A48" s="3" t="s">
        <v>53</v>
      </c>
      <c r="B48" s="7">
        <v>11474.23</v>
      </c>
      <c r="C48" s="11">
        <f t="shared" si="0"/>
        <v>1.6808822682340039</v>
      </c>
      <c r="D48" s="7">
        <v>38186.729999999996</v>
      </c>
      <c r="E48" s="11">
        <f t="shared" si="1"/>
        <v>-2.2626696208783952</v>
      </c>
      <c r="F48" s="7">
        <v>35588.122499999998</v>
      </c>
      <c r="G48" s="11">
        <f t="shared" si="2"/>
        <v>0.20948237551241022</v>
      </c>
      <c r="H48" s="7">
        <v>13862.905000000002</v>
      </c>
      <c r="I48" s="11">
        <f t="shared" si="3"/>
        <v>-4.4557799979840524</v>
      </c>
      <c r="J48" s="7">
        <v>38528.662499999991</v>
      </c>
      <c r="K48" s="11">
        <f t="shared" si="4"/>
        <v>-3.4047618868540623</v>
      </c>
      <c r="L48" s="8">
        <v>5583.1949999999997</v>
      </c>
      <c r="M48" s="11">
        <f t="shared" si="5"/>
        <v>-3.7296350802958025</v>
      </c>
    </row>
    <row r="49" spans="1:13" x14ac:dyDescent="0.3">
      <c r="A49" s="3" t="s">
        <v>54</v>
      </c>
      <c r="B49" s="7">
        <v>10801.13913043478</v>
      </c>
      <c r="C49" s="11">
        <f t="shared" si="0"/>
        <v>-5.866109268902747</v>
      </c>
      <c r="D49" s="7">
        <v>35897.010869565216</v>
      </c>
      <c r="E49" s="11">
        <f t="shared" si="1"/>
        <v>-5.996112079863293</v>
      </c>
      <c r="F49" s="7">
        <v>36640.615217391307</v>
      </c>
      <c r="G49" s="11">
        <f t="shared" si="2"/>
        <v>2.9574269263328219</v>
      </c>
      <c r="H49" s="7">
        <v>13634.734782608697</v>
      </c>
      <c r="I49" s="11">
        <f t="shared" si="3"/>
        <v>-1.6459047897342249</v>
      </c>
      <c r="J49" s="7">
        <v>37218.991304347823</v>
      </c>
      <c r="K49" s="11">
        <f t="shared" si="4"/>
        <v>-3.3992127176804248</v>
      </c>
      <c r="L49" s="8">
        <v>5499.4891304347821</v>
      </c>
      <c r="M49" s="11">
        <f t="shared" si="5"/>
        <v>-1.4992467496696364</v>
      </c>
    </row>
    <row r="50" spans="1:13" x14ac:dyDescent="0.3">
      <c r="A50" s="3" t="s">
        <v>55</v>
      </c>
      <c r="B50" s="7">
        <v>11496.18</v>
      </c>
      <c r="C50" s="11">
        <f t="shared" si="0"/>
        <v>6.4348848873428306</v>
      </c>
      <c r="D50" s="7">
        <v>37836.995000000003</v>
      </c>
      <c r="E50" s="11">
        <f t="shared" si="1"/>
        <v>5.4043054935239052</v>
      </c>
      <c r="F50" s="7">
        <v>37234.222500000003</v>
      </c>
      <c r="G50" s="11">
        <f t="shared" si="2"/>
        <v>1.6200800098109254</v>
      </c>
      <c r="H50" s="7">
        <v>13764.142499999998</v>
      </c>
      <c r="I50" s="11">
        <f t="shared" si="3"/>
        <v>0.94910329723730658</v>
      </c>
      <c r="J50" s="7">
        <v>37278.6875</v>
      </c>
      <c r="K50" s="11">
        <f t="shared" si="4"/>
        <v>0.16039176119532211</v>
      </c>
      <c r="L50" s="8">
        <v>5665.7300000000014</v>
      </c>
      <c r="M50" s="11">
        <f t="shared" si="5"/>
        <v>3.0228420426403599</v>
      </c>
    </row>
    <row r="51" spans="1:13" x14ac:dyDescent="0.3">
      <c r="A51" s="3" t="s">
        <v>56</v>
      </c>
      <c r="B51" s="7">
        <v>11383.404999999999</v>
      </c>
      <c r="C51" s="11">
        <f t="shared" si="0"/>
        <v>-0.98097802922363297</v>
      </c>
      <c r="D51" s="7">
        <v>37813.719999999987</v>
      </c>
      <c r="E51" s="11">
        <f t="shared" si="1"/>
        <v>-6.1513870221501489E-2</v>
      </c>
      <c r="F51" s="7">
        <v>34522.289999999994</v>
      </c>
      <c r="G51" s="11">
        <f t="shared" si="2"/>
        <v>-7.2834406573146788</v>
      </c>
      <c r="H51" s="7">
        <v>13377.732500000002</v>
      </c>
      <c r="I51" s="11">
        <f t="shared" si="3"/>
        <v>-2.8073670408454161</v>
      </c>
      <c r="J51" s="7">
        <v>36448.315000000002</v>
      </c>
      <c r="K51" s="11">
        <f t="shared" si="4"/>
        <v>-2.2274724666741492</v>
      </c>
      <c r="L51" s="8">
        <v>5775.2224999999999</v>
      </c>
      <c r="M51" s="11">
        <f t="shared" si="5"/>
        <v>1.932540025733638</v>
      </c>
    </row>
    <row r="52" spans="1:13" x14ac:dyDescent="0.3">
      <c r="A52" s="3" t="s">
        <v>57</v>
      </c>
      <c r="B52" s="7">
        <v>10230.721428571431</v>
      </c>
      <c r="C52" s="11">
        <f t="shared" si="0"/>
        <v>-10.125999834219797</v>
      </c>
      <c r="D52" s="7">
        <v>35229.55000000001</v>
      </c>
      <c r="E52" s="11">
        <f t="shared" si="1"/>
        <v>-6.833948101376901</v>
      </c>
      <c r="F52" s="7">
        <v>35479.030952380956</v>
      </c>
      <c r="G52" s="11">
        <f t="shared" si="2"/>
        <v>2.7713716337501428</v>
      </c>
      <c r="H52" s="7">
        <v>13405.352380952379</v>
      </c>
      <c r="I52" s="11">
        <f t="shared" si="3"/>
        <v>0.20646160290899496</v>
      </c>
      <c r="J52" s="7">
        <v>35485.454761904752</v>
      </c>
      <c r="K52" s="11">
        <f t="shared" si="4"/>
        <v>-2.6417139944473442</v>
      </c>
      <c r="L52" s="8">
        <v>6248.4809523809527</v>
      </c>
      <c r="M52" s="11">
        <f t="shared" si="5"/>
        <v>8.1946358323155994</v>
      </c>
    </row>
    <row r="53" spans="1:13" x14ac:dyDescent="0.3">
      <c r="A53" s="3" t="s">
        <v>58</v>
      </c>
      <c r="B53" s="7">
        <v>10910.723684210527</v>
      </c>
      <c r="C53" s="11">
        <f t="shared" si="0"/>
        <v>6.6466696448214027</v>
      </c>
      <c r="D53" s="7">
        <v>36994.268421052635</v>
      </c>
      <c r="E53" s="11">
        <f t="shared" si="1"/>
        <v>5.0091994392566024</v>
      </c>
      <c r="F53" s="7">
        <v>33688.589473684224</v>
      </c>
      <c r="G53" s="11">
        <f t="shared" si="2"/>
        <v>-5.0464779635605508</v>
      </c>
      <c r="H53" s="7">
        <v>13769.107894736842</v>
      </c>
      <c r="I53" s="11">
        <f t="shared" si="3"/>
        <v>2.7135095255035733</v>
      </c>
      <c r="J53" s="7">
        <v>37788.928947368426</v>
      </c>
      <c r="K53" s="11">
        <f t="shared" si="4"/>
        <v>6.4913193332851362</v>
      </c>
      <c r="L53" s="8">
        <v>6537.7684210526313</v>
      </c>
      <c r="M53" s="11">
        <f t="shared" si="5"/>
        <v>4.6297247423223258</v>
      </c>
    </row>
    <row r="54" spans="1:13" x14ac:dyDescent="0.3">
      <c r="A54" s="3" t="s">
        <v>59</v>
      </c>
      <c r="B54" s="7">
        <v>10829.72380952381</v>
      </c>
      <c r="C54" s="11">
        <f t="shared" si="0"/>
        <v>-0.74238773734079533</v>
      </c>
      <c r="D54" s="7">
        <v>34567.242857142861</v>
      </c>
      <c r="E54" s="11">
        <f t="shared" si="1"/>
        <v>-6.5605448289622252</v>
      </c>
      <c r="F54" s="7">
        <v>29652.502380952377</v>
      </c>
      <c r="G54" s="11">
        <f t="shared" si="2"/>
        <v>-11.980576081657048</v>
      </c>
      <c r="H54" s="7">
        <v>12899.173809523811</v>
      </c>
      <c r="I54" s="11">
        <f t="shared" si="3"/>
        <v>-6.3180134244249677</v>
      </c>
      <c r="J54" s="7">
        <v>37639.433333333349</v>
      </c>
      <c r="K54" s="11">
        <f t="shared" si="4"/>
        <v>-0.39560690974674356</v>
      </c>
      <c r="L54" s="8">
        <v>5582.7214285714281</v>
      </c>
      <c r="M54" s="11">
        <f t="shared" si="5"/>
        <v>-14.60814961578944</v>
      </c>
    </row>
    <row r="55" spans="1:13" x14ac:dyDescent="0.3">
      <c r="A55" s="3" t="s">
        <v>60</v>
      </c>
      <c r="B55" s="7">
        <v>11322.038636363635</v>
      </c>
      <c r="C55" s="11">
        <f t="shared" si="0"/>
        <v>4.545959209106301</v>
      </c>
      <c r="D55" s="7">
        <v>33926.384090909087</v>
      </c>
      <c r="E55" s="11">
        <f t="shared" si="1"/>
        <v>-1.8539481696074847</v>
      </c>
      <c r="F55" s="7">
        <v>28406.134090909094</v>
      </c>
      <c r="G55" s="11">
        <f t="shared" si="2"/>
        <v>-4.2032482588852336</v>
      </c>
      <c r="H55" s="7">
        <v>12313.540909090911</v>
      </c>
      <c r="I55" s="11">
        <f t="shared" si="3"/>
        <v>-4.540080698815852</v>
      </c>
      <c r="J55" s="7">
        <v>37496.906818181822</v>
      </c>
      <c r="K55" s="11">
        <f t="shared" si="4"/>
        <v>-0.37866275480110867</v>
      </c>
      <c r="L55" s="8">
        <v>4943.8136363636359</v>
      </c>
      <c r="M55" s="11">
        <f t="shared" si="5"/>
        <v>-11.444378881918945</v>
      </c>
    </row>
    <row r="56" spans="1:13" x14ac:dyDescent="0.3">
      <c r="A56" s="3" t="s">
        <v>61</v>
      </c>
      <c r="B56" s="7">
        <v>12228.990476190476</v>
      </c>
      <c r="C56" s="11">
        <f t="shared" si="0"/>
        <v>8.0104994246701491</v>
      </c>
      <c r="D56" s="7">
        <v>35486.080952380958</v>
      </c>
      <c r="E56" s="11">
        <f t="shared" si="1"/>
        <v>4.5972976586379213</v>
      </c>
      <c r="F56" s="7">
        <v>27769.609523809522</v>
      </c>
      <c r="G56" s="11">
        <f t="shared" si="2"/>
        <v>-2.2407996986231256</v>
      </c>
      <c r="H56" s="7">
        <v>12619.830952380949</v>
      </c>
      <c r="I56" s="11">
        <f t="shared" si="3"/>
        <v>2.4874245803975783</v>
      </c>
      <c r="J56" s="7">
        <v>41246.288095238095</v>
      </c>
      <c r="K56" s="11">
        <f t="shared" si="4"/>
        <v>9.9991748525727484</v>
      </c>
      <c r="L56" s="8">
        <v>4955.9595238095226</v>
      </c>
      <c r="M56" s="11">
        <f t="shared" si="5"/>
        <v>0.24567850528484916</v>
      </c>
    </row>
    <row r="57" spans="1:13" x14ac:dyDescent="0.3">
      <c r="A57" s="3" t="s">
        <v>62</v>
      </c>
      <c r="B57" s="7">
        <v>12967.094999999999</v>
      </c>
      <c r="C57" s="11">
        <f t="shared" si="0"/>
        <v>6.0356946490930152</v>
      </c>
      <c r="D57" s="7">
        <v>38658.435000000005</v>
      </c>
      <c r="E57" s="11">
        <f t="shared" si="1"/>
        <v>8.9397137200809862</v>
      </c>
      <c r="F57" s="7">
        <v>29405.555000000004</v>
      </c>
      <c r="G57" s="11">
        <f t="shared" si="2"/>
        <v>5.8911360449192856</v>
      </c>
      <c r="H57" s="7">
        <v>12874.322500000002</v>
      </c>
      <c r="I57" s="11">
        <f t="shared" si="3"/>
        <v>2.0166002902839075</v>
      </c>
      <c r="J57" s="7">
        <v>42916.805</v>
      </c>
      <c r="K57" s="11">
        <f t="shared" si="4"/>
        <v>4.0501024017110714</v>
      </c>
      <c r="L57" s="8">
        <v>5770.2225000000008</v>
      </c>
      <c r="M57" s="11">
        <f t="shared" si="5"/>
        <v>16.429976319995738</v>
      </c>
    </row>
    <row r="58" spans="1:13" x14ac:dyDescent="0.3">
      <c r="A58" s="3" t="s">
        <v>63</v>
      </c>
      <c r="B58" s="7">
        <v>13057.977272727272</v>
      </c>
      <c r="C58" s="11">
        <f t="shared" si="0"/>
        <v>0.70086841136949118</v>
      </c>
      <c r="D58" s="7">
        <v>39903.704545454544</v>
      </c>
      <c r="E58" s="11">
        <f t="shared" si="1"/>
        <v>3.2212104433470703</v>
      </c>
      <c r="F58" s="7">
        <v>27514.631818181824</v>
      </c>
      <c r="G58" s="11">
        <f t="shared" si="2"/>
        <v>-6.4304964889055132</v>
      </c>
      <c r="H58" s="7">
        <v>12716.145454545453</v>
      </c>
      <c r="I58" s="11">
        <f t="shared" si="3"/>
        <v>-1.2286242282228788</v>
      </c>
      <c r="J58" s="7">
        <v>44010.55909090909</v>
      </c>
      <c r="K58" s="11">
        <f t="shared" si="4"/>
        <v>2.5485450068081472</v>
      </c>
      <c r="L58" s="8">
        <v>5994.3909090909083</v>
      </c>
      <c r="M58" s="11">
        <f t="shared" si="5"/>
        <v>3.8849179401818126</v>
      </c>
    </row>
    <row r="59" spans="1:13" x14ac:dyDescent="0.3">
      <c r="A59" s="3" t="s">
        <v>64</v>
      </c>
      <c r="B59" s="7">
        <v>12749.486842105263</v>
      </c>
      <c r="C59" s="11">
        <f t="shared" si="0"/>
        <v>-2.3624672043679995</v>
      </c>
      <c r="D59" s="7">
        <v>39893.473684210527</v>
      </c>
      <c r="E59" s="11">
        <f t="shared" si="1"/>
        <v>-2.5638875789999394E-2</v>
      </c>
      <c r="F59" s="7">
        <v>28030.497368421049</v>
      </c>
      <c r="G59" s="11">
        <f t="shared" si="2"/>
        <v>1.8748771695296245</v>
      </c>
      <c r="H59" s="7">
        <v>13126.768421052629</v>
      </c>
      <c r="I59" s="11">
        <f t="shared" si="3"/>
        <v>3.2291465049292714</v>
      </c>
      <c r="J59" s="7">
        <v>43708.039473684214</v>
      </c>
      <c r="K59" s="11">
        <f t="shared" si="4"/>
        <v>-0.68737962769340322</v>
      </c>
      <c r="L59" s="8">
        <v>5813.0421052631573</v>
      </c>
      <c r="M59" s="11">
        <f t="shared" si="5"/>
        <v>-3.0253082686469948</v>
      </c>
    </row>
    <row r="60" spans="1:13" x14ac:dyDescent="0.3">
      <c r="A60" s="3" t="s">
        <v>65</v>
      </c>
      <c r="B60" s="7">
        <v>13071.785714285714</v>
      </c>
      <c r="C60" s="11">
        <f t="shared" si="0"/>
        <v>2.5279360351669706</v>
      </c>
      <c r="D60" s="7">
        <v>42237.185714285712</v>
      </c>
      <c r="E60" s="11">
        <f t="shared" si="1"/>
        <v>5.8749259305609298</v>
      </c>
      <c r="F60" s="7">
        <v>29523.94761904762</v>
      </c>
      <c r="G60" s="11">
        <f t="shared" si="2"/>
        <v>5.3279477384838732</v>
      </c>
      <c r="H60" s="7">
        <v>13179.440476190477</v>
      </c>
      <c r="I60" s="11">
        <f t="shared" si="3"/>
        <v>0.40125683220991731</v>
      </c>
      <c r="J60" s="7">
        <v>44322.642857142862</v>
      </c>
      <c r="K60" s="11">
        <f t="shared" si="4"/>
        <v>1.4061563750272759</v>
      </c>
      <c r="L60" s="8">
        <v>6386.7547619047618</v>
      </c>
      <c r="M60" s="11">
        <f t="shared" si="5"/>
        <v>9.8694048013545661</v>
      </c>
    </row>
    <row r="61" spans="1:13" x14ac:dyDescent="0.3">
      <c r="A61" s="3" t="s">
        <v>66</v>
      </c>
      <c r="B61" s="7">
        <v>12795.431818181816</v>
      </c>
      <c r="C61" s="11">
        <f t="shared" si="0"/>
        <v>-2.1141250487443326</v>
      </c>
      <c r="D61" s="7">
        <v>43164.145454545454</v>
      </c>
      <c r="E61" s="11">
        <f t="shared" si="1"/>
        <v>2.1946531819856099</v>
      </c>
      <c r="F61" s="7">
        <v>29307.138636363637</v>
      </c>
      <c r="G61" s="11">
        <f t="shared" si="2"/>
        <v>-0.73434957100420484</v>
      </c>
      <c r="H61" s="7">
        <v>12899.077272727272</v>
      </c>
      <c r="I61" s="11">
        <f t="shared" si="3"/>
        <v>-2.1272769809135608</v>
      </c>
      <c r="J61" s="7">
        <v>45305.625</v>
      </c>
      <c r="K61" s="11">
        <f t="shared" si="4"/>
        <v>2.2177877479585448</v>
      </c>
      <c r="L61" s="8">
        <v>6661.6568181818202</v>
      </c>
      <c r="M61" s="11">
        <f t="shared" si="5"/>
        <v>4.3042525746686513</v>
      </c>
    </row>
    <row r="62" spans="1:13" x14ac:dyDescent="0.3">
      <c r="A62" s="3" t="s">
        <v>67</v>
      </c>
      <c r="B62" s="7">
        <v>12813.542857142855</v>
      </c>
      <c r="C62" s="11">
        <f t="shared" si="0"/>
        <v>0.14154300705430989</v>
      </c>
      <c r="D62" s="7">
        <v>42188.32142857142</v>
      </c>
      <c r="E62" s="11">
        <f t="shared" si="1"/>
        <v>-2.2607282402975817</v>
      </c>
      <c r="F62" s="7">
        <v>29235.89285714287</v>
      </c>
      <c r="G62" s="11">
        <f t="shared" si="2"/>
        <v>-0.24310042718523095</v>
      </c>
      <c r="H62" s="7">
        <v>12708.535714285714</v>
      </c>
      <c r="I62" s="11">
        <f t="shared" si="3"/>
        <v>-1.4771720055078958</v>
      </c>
      <c r="J62" s="7">
        <v>44272.680952380957</v>
      </c>
      <c r="K62" s="11">
        <f t="shared" si="4"/>
        <v>-2.2799465797437799</v>
      </c>
      <c r="L62" s="8">
        <v>6736.2333333333318</v>
      </c>
      <c r="M62" s="11">
        <f t="shared" si="5"/>
        <v>1.1194889978115967</v>
      </c>
    </row>
    <row r="63" spans="1:13" x14ac:dyDescent="0.3">
      <c r="A63" s="3" t="s">
        <v>68</v>
      </c>
      <c r="B63" s="7">
        <v>13124.059999999998</v>
      </c>
      <c r="C63" s="11">
        <f t="shared" si="0"/>
        <v>2.4233511864678903</v>
      </c>
      <c r="D63" s="7">
        <v>40974.097499999996</v>
      </c>
      <c r="E63" s="11">
        <f t="shared" si="1"/>
        <v>-2.8781043839992857</v>
      </c>
      <c r="F63" s="7">
        <v>30615.805</v>
      </c>
      <c r="G63" s="11">
        <f t="shared" si="2"/>
        <v>4.7199247500320229</v>
      </c>
      <c r="H63" s="7">
        <v>12237.9625</v>
      </c>
      <c r="I63" s="11">
        <f t="shared" si="3"/>
        <v>-3.7028122268778851</v>
      </c>
      <c r="J63" s="7">
        <v>45598.477500000001</v>
      </c>
      <c r="K63" s="11">
        <f t="shared" si="4"/>
        <v>2.9946154583343416</v>
      </c>
      <c r="L63" s="8">
        <v>5740.4874999999993</v>
      </c>
      <c r="M63" s="11">
        <f t="shared" si="5"/>
        <v>-14.781937977207827</v>
      </c>
    </row>
    <row r="64" spans="1:13" x14ac:dyDescent="0.3">
      <c r="A64" s="3" t="s">
        <v>69</v>
      </c>
      <c r="B64" s="7">
        <v>12408.266666666666</v>
      </c>
      <c r="C64" s="11">
        <f t="shared" si="0"/>
        <v>-5.4540541062242278</v>
      </c>
      <c r="D64" s="7">
        <v>40073.964285714283</v>
      </c>
      <c r="E64" s="11">
        <f t="shared" si="1"/>
        <v>-2.196834754653751</v>
      </c>
      <c r="F64" s="7">
        <v>28877.478571428575</v>
      </c>
      <c r="G64" s="11">
        <f t="shared" si="2"/>
        <v>-5.677872682333275</v>
      </c>
      <c r="H64" s="7">
        <v>11809.933333333334</v>
      </c>
      <c r="I64" s="11">
        <f t="shared" si="3"/>
        <v>-3.4975525269558991</v>
      </c>
      <c r="J64" s="7">
        <v>45155.145238095232</v>
      </c>
      <c r="K64" s="11">
        <f t="shared" si="4"/>
        <v>-0.97225233431262814</v>
      </c>
      <c r="L64" s="8">
        <v>5527.5666666666675</v>
      </c>
      <c r="M64" s="11">
        <f t="shared" si="5"/>
        <v>-3.7091071678726202</v>
      </c>
    </row>
    <row r="65" spans="1:13" x14ac:dyDescent="0.3">
      <c r="A65" s="3" t="s">
        <v>70</v>
      </c>
      <c r="B65" s="7">
        <v>12844.652941176473</v>
      </c>
      <c r="C65" s="11">
        <f t="shared" si="0"/>
        <v>3.5168995495729201</v>
      </c>
      <c r="D65" s="7">
        <v>42011.352941176476</v>
      </c>
      <c r="E65" s="11">
        <f t="shared" si="1"/>
        <v>4.8345320708708641</v>
      </c>
      <c r="F65" s="7">
        <v>27756.76176470588</v>
      </c>
      <c r="G65" s="11">
        <f t="shared" si="2"/>
        <v>-3.8809371945358646</v>
      </c>
      <c r="H65" s="7">
        <v>12478.96176470588</v>
      </c>
      <c r="I65" s="11">
        <f t="shared" si="3"/>
        <v>5.6649636580439005</v>
      </c>
      <c r="J65" s="7">
        <v>46578.914705882351</v>
      </c>
      <c r="K65" s="11">
        <f t="shared" si="4"/>
        <v>3.1530614291678827</v>
      </c>
      <c r="L65" s="8">
        <v>5679.5441176470595</v>
      </c>
      <c r="M65" s="11">
        <f t="shared" si="5"/>
        <v>2.7494458257170171</v>
      </c>
    </row>
    <row r="66" spans="1:13" x14ac:dyDescent="0.3">
      <c r="A66" s="3" t="s">
        <v>71</v>
      </c>
      <c r="B66" s="7">
        <v>13814.71590909091</v>
      </c>
      <c r="C66" s="11">
        <f t="shared" si="0"/>
        <v>7.5522707569986416</v>
      </c>
      <c r="D66" s="7">
        <v>43708.313636363629</v>
      </c>
      <c r="E66" s="11">
        <f t="shared" si="1"/>
        <v>4.039290754485358</v>
      </c>
      <c r="F66" s="7">
        <v>28412.504545454543</v>
      </c>
      <c r="G66" s="11">
        <f t="shared" si="2"/>
        <v>2.362461393398108</v>
      </c>
      <c r="H66" s="7">
        <v>12573.520454545453</v>
      </c>
      <c r="I66" s="11">
        <f t="shared" si="3"/>
        <v>0.75774484786876761</v>
      </c>
      <c r="J66" s="7">
        <v>49170.856818181812</v>
      </c>
      <c r="K66" s="11">
        <f t="shared" si="4"/>
        <v>5.5646253861130219</v>
      </c>
      <c r="L66" s="8">
        <v>5812.045454545455</v>
      </c>
      <c r="M66" s="11">
        <f t="shared" si="5"/>
        <v>2.3329572612473797</v>
      </c>
    </row>
    <row r="67" spans="1:13" x14ac:dyDescent="0.3">
      <c r="A67" s="3" t="s">
        <v>72</v>
      </c>
      <c r="B67" s="7">
        <v>14690.583333333334</v>
      </c>
      <c r="C67" s="11">
        <f t="shared" si="0"/>
        <v>6.3401044944112872</v>
      </c>
      <c r="D67" s="7">
        <v>43956.785714285717</v>
      </c>
      <c r="E67" s="11">
        <f t="shared" si="1"/>
        <v>0.56847784151381386</v>
      </c>
      <c r="F67" s="7">
        <v>28867.376190476192</v>
      </c>
      <c r="G67" s="11">
        <f t="shared" si="2"/>
        <v>1.6009558196249181</v>
      </c>
      <c r="H67" s="7">
        <v>13194.857142857143</v>
      </c>
      <c r="I67" s="11">
        <f t="shared" si="3"/>
        <v>4.9416286437667596</v>
      </c>
      <c r="J67" s="7">
        <v>51556.097619047621</v>
      </c>
      <c r="K67" s="11">
        <f t="shared" si="4"/>
        <v>4.8509238097795837</v>
      </c>
      <c r="L67" s="8">
        <v>6109.4547619047617</v>
      </c>
      <c r="M67" s="11">
        <f t="shared" si="5"/>
        <v>5.1171194321391678</v>
      </c>
    </row>
    <row r="68" spans="1:13" x14ac:dyDescent="0.3">
      <c r="A68" s="3" t="s">
        <v>73</v>
      </c>
      <c r="B68" s="7">
        <v>15513.959523809524</v>
      </c>
      <c r="C68" s="11">
        <f t="shared" ref="C68:C85" si="6">(B68-B67)/B67*100</f>
        <v>5.6047889440028396</v>
      </c>
      <c r="D68" s="7">
        <v>45382.23095238096</v>
      </c>
      <c r="E68" s="11">
        <f t="shared" ref="E68:E85" si="7">(D68-D67)/D67*100</f>
        <v>3.24283319385653</v>
      </c>
      <c r="F68" s="7">
        <v>29996.445238095235</v>
      </c>
      <c r="G68" s="11">
        <f t="shared" ref="G68:G85" si="8">(F68-F67)/F67*100</f>
        <v>3.9112285098897934</v>
      </c>
      <c r="H68" s="7">
        <v>14204.188095238096</v>
      </c>
      <c r="I68" s="11">
        <f t="shared" ref="I68:I85" si="9">(H68-H67)/H67*100</f>
        <v>7.6494269051434225</v>
      </c>
      <c r="J68" s="7">
        <v>53135.464285714275</v>
      </c>
      <c r="K68" s="11">
        <f t="shared" ref="K68:K85" si="10">(J68-J67)/J67*100</f>
        <v>3.0633945151099842</v>
      </c>
      <c r="L68" s="8">
        <v>6444.2023809523826</v>
      </c>
      <c r="M68" s="11">
        <f t="shared" ref="M68:M85" si="11">(L68-L67)/L67*100</f>
        <v>5.4791733811489207</v>
      </c>
    </row>
    <row r="69" spans="1:13" x14ac:dyDescent="0.3">
      <c r="A69" s="3" t="s">
        <v>74</v>
      </c>
      <c r="B69" s="7">
        <v>15457.81363636364</v>
      </c>
      <c r="C69" s="11">
        <f t="shared" si="6"/>
        <v>-0.36190559450484577</v>
      </c>
      <c r="D69" s="7">
        <v>44436.274999999987</v>
      </c>
      <c r="E69" s="11">
        <f t="shared" si="7"/>
        <v>-2.0844192375063129</v>
      </c>
      <c r="F69" s="7">
        <v>30798.829545454544</v>
      </c>
      <c r="G69" s="11">
        <f t="shared" si="8"/>
        <v>2.6749313159956949</v>
      </c>
      <c r="H69" s="7">
        <v>15369.275000000001</v>
      </c>
      <c r="I69" s="11">
        <f t="shared" si="9"/>
        <v>8.2024181667412357</v>
      </c>
      <c r="J69" s="7">
        <v>51777.143181818181</v>
      </c>
      <c r="K69" s="11">
        <f t="shared" si="10"/>
        <v>-2.5563361911966687</v>
      </c>
      <c r="L69" s="8">
        <v>6606.254545454547</v>
      </c>
      <c r="M69" s="11">
        <f t="shared" si="11"/>
        <v>2.5146970086034908</v>
      </c>
    </row>
    <row r="70" spans="1:13" x14ac:dyDescent="0.3">
      <c r="A70" s="3" t="s">
        <v>75</v>
      </c>
      <c r="B70" s="7">
        <v>16170.459999999997</v>
      </c>
      <c r="C70" s="11">
        <f t="shared" si="6"/>
        <v>4.6102662407566894</v>
      </c>
      <c r="D70" s="7">
        <v>45033.93499999999</v>
      </c>
      <c r="E70" s="11">
        <f t="shared" si="7"/>
        <v>1.3449822245451575</v>
      </c>
      <c r="F70" s="7">
        <v>32570.547500000004</v>
      </c>
      <c r="G70" s="11">
        <f t="shared" si="8"/>
        <v>5.7525496283248847</v>
      </c>
      <c r="H70" s="7">
        <v>15366.007500000002</v>
      </c>
      <c r="I70" s="11">
        <f t="shared" si="9"/>
        <v>-2.1259948826473123E-2</v>
      </c>
      <c r="J70" s="7">
        <v>51822.217500000006</v>
      </c>
      <c r="K70" s="11">
        <f t="shared" si="10"/>
        <v>8.7054471166059438E-2</v>
      </c>
      <c r="L70" s="8">
        <v>6905.6824999999981</v>
      </c>
      <c r="M70" s="11">
        <f t="shared" si="11"/>
        <v>4.5324919360165028</v>
      </c>
    </row>
    <row r="71" spans="1:13" x14ac:dyDescent="0.3">
      <c r="A71" s="3" t="s">
        <v>76</v>
      </c>
      <c r="B71" s="7">
        <v>16185.372499999998</v>
      </c>
      <c r="C71" s="11">
        <f t="shared" si="6"/>
        <v>9.2220629468799081E-2</v>
      </c>
      <c r="D71" s="7">
        <v>43775.992500000008</v>
      </c>
      <c r="E71" s="11">
        <f t="shared" si="7"/>
        <v>-2.7933213031461341</v>
      </c>
      <c r="F71" s="7">
        <v>31541.109999999997</v>
      </c>
      <c r="G71" s="11">
        <f t="shared" si="8"/>
        <v>-3.1606392247474719</v>
      </c>
      <c r="H71" s="7">
        <v>15153.825000000001</v>
      </c>
      <c r="I71" s="11">
        <f t="shared" si="9"/>
        <v>-1.3808564130923455</v>
      </c>
      <c r="J71" s="7">
        <v>51771.592499999984</v>
      </c>
      <c r="K71" s="11">
        <f t="shared" si="10"/>
        <v>-9.7689760188324287E-2</v>
      </c>
      <c r="L71" s="8">
        <v>6691.8599999999988</v>
      </c>
      <c r="M71" s="11">
        <f t="shared" si="11"/>
        <v>-3.0963268293901343</v>
      </c>
    </row>
    <row r="72" spans="1:13" x14ac:dyDescent="0.3">
      <c r="A72" s="3" t="s">
        <v>77</v>
      </c>
      <c r="B72" s="7">
        <v>16619.752380952385</v>
      </c>
      <c r="C72" s="11">
        <f t="shared" si="6"/>
        <v>2.6837805614445198</v>
      </c>
      <c r="D72" s="7">
        <v>43732.885714285716</v>
      </c>
      <c r="E72" s="11">
        <f t="shared" si="7"/>
        <v>-9.8471292716645106E-2</v>
      </c>
      <c r="F72" s="7">
        <v>31539.764285714278</v>
      </c>
      <c r="G72" s="11">
        <f t="shared" si="8"/>
        <v>-4.2665406693636141E-3</v>
      </c>
      <c r="H72" s="7">
        <v>15647.780952380956</v>
      </c>
      <c r="I72" s="11">
        <f t="shared" si="9"/>
        <v>3.2596123578103535</v>
      </c>
      <c r="J72" s="7">
        <v>52303.040476190472</v>
      </c>
      <c r="K72" s="11">
        <f t="shared" si="10"/>
        <v>1.0265242974522908</v>
      </c>
      <c r="L72" s="8">
        <v>6726.3238095238103</v>
      </c>
      <c r="M72" s="11">
        <f t="shared" si="11"/>
        <v>0.51501091660332865</v>
      </c>
    </row>
    <row r="73" spans="1:13" x14ac:dyDescent="0.3">
      <c r="A73" s="3" t="s">
        <v>78</v>
      </c>
      <c r="B73" s="7">
        <v>17900.984999999997</v>
      </c>
      <c r="C73" s="11">
        <f t="shared" si="6"/>
        <v>7.709095717430853</v>
      </c>
      <c r="D73" s="7">
        <v>47394.972500000011</v>
      </c>
      <c r="E73" s="11">
        <f t="shared" si="7"/>
        <v>8.3737597597362381</v>
      </c>
      <c r="F73" s="7">
        <v>34294.875</v>
      </c>
      <c r="G73" s="11">
        <f t="shared" si="8"/>
        <v>8.7353560709191171</v>
      </c>
      <c r="H73" s="7">
        <v>16409.852500000001</v>
      </c>
      <c r="I73" s="11">
        <f t="shared" si="9"/>
        <v>4.8701573081714757</v>
      </c>
      <c r="J73" s="7">
        <v>54663.565000000002</v>
      </c>
      <c r="K73" s="11">
        <f t="shared" si="10"/>
        <v>4.5131688374485508</v>
      </c>
      <c r="L73" s="8">
        <v>7559.3250000000016</v>
      </c>
      <c r="M73" s="11">
        <f t="shared" si="11"/>
        <v>12.384196985829673</v>
      </c>
    </row>
    <row r="74" spans="1:13" x14ac:dyDescent="0.3">
      <c r="A74" s="3" t="s">
        <v>79</v>
      </c>
      <c r="B74" s="7">
        <v>18602.445454545454</v>
      </c>
      <c r="C74" s="11">
        <f t="shared" si="6"/>
        <v>3.9185578589415995</v>
      </c>
      <c r="D74" s="7">
        <v>46765.859090909093</v>
      </c>
      <c r="E74" s="11">
        <f t="shared" si="7"/>
        <v>-1.3273842686392909</v>
      </c>
      <c r="F74" s="7">
        <v>35952.299999999996</v>
      </c>
      <c r="G74" s="11">
        <f t="shared" si="8"/>
        <v>4.8328649688911121</v>
      </c>
      <c r="H74" s="7">
        <v>17514.495454545453</v>
      </c>
      <c r="I74" s="11">
        <f t="shared" si="9"/>
        <v>6.7315836906239834</v>
      </c>
      <c r="J74" s="7">
        <v>56294.115909090913</v>
      </c>
      <c r="K74" s="11">
        <f t="shared" si="10"/>
        <v>2.982884319913842</v>
      </c>
      <c r="L74" s="4">
        <v>7821.7659090909083</v>
      </c>
      <c r="M74" s="11">
        <f t="shared" si="11"/>
        <v>3.4717505741703998</v>
      </c>
    </row>
    <row r="75" spans="1:13" x14ac:dyDescent="0.3">
      <c r="A75" s="3" t="s">
        <v>80</v>
      </c>
      <c r="B75" s="7">
        <v>20040.083333333332</v>
      </c>
      <c r="C75" s="11">
        <f t="shared" si="6"/>
        <v>7.7282198316382962</v>
      </c>
      <c r="D75" s="7">
        <v>46127.011904761916</v>
      </c>
      <c r="E75" s="11">
        <f t="shared" si="7"/>
        <v>-1.3660546359371037</v>
      </c>
      <c r="F75" s="7">
        <v>37806.878571428577</v>
      </c>
      <c r="G75" s="11">
        <f t="shared" si="8"/>
        <v>5.1584420786113307</v>
      </c>
      <c r="H75" s="7">
        <v>18800.278571428571</v>
      </c>
      <c r="I75" s="11">
        <f t="shared" si="9"/>
        <v>7.3412512522558844</v>
      </c>
      <c r="J75" s="7">
        <v>54108.126190476185</v>
      </c>
      <c r="K75" s="11">
        <f t="shared" si="10"/>
        <v>-3.8831584497123504</v>
      </c>
      <c r="L75" s="4">
        <v>8004.1785714285716</v>
      </c>
      <c r="M75" s="11">
        <f t="shared" si="11"/>
        <v>2.3321161034192133</v>
      </c>
    </row>
    <row r="76" spans="1:13" x14ac:dyDescent="0.3">
      <c r="A76" s="3" t="s">
        <v>81</v>
      </c>
      <c r="B76" s="7">
        <v>20822.031578947372</v>
      </c>
      <c r="C76" s="11">
        <f t="shared" si="6"/>
        <v>3.9019211278098784</v>
      </c>
      <c r="D76" s="7">
        <v>47038.384210526317</v>
      </c>
      <c r="E76" s="11">
        <f t="shared" si="7"/>
        <v>1.9757887366433042</v>
      </c>
      <c r="F76" s="7">
        <v>36519.726315789485</v>
      </c>
      <c r="G76" s="11">
        <f t="shared" si="8"/>
        <v>-3.4045451628789554</v>
      </c>
      <c r="H76" s="7">
        <v>18990.836842105269</v>
      </c>
      <c r="I76" s="11">
        <f t="shared" si="9"/>
        <v>1.0135928037060904</v>
      </c>
      <c r="J76" s="7">
        <v>53814.615789473683</v>
      </c>
      <c r="K76" s="11">
        <f t="shared" si="10"/>
        <v>-0.54245160878286813</v>
      </c>
      <c r="L76" s="4">
        <v>8102.2210526315785</v>
      </c>
      <c r="M76" s="11">
        <f t="shared" si="11"/>
        <v>1.2248912281014797</v>
      </c>
    </row>
    <row r="77" spans="1:13" x14ac:dyDescent="0.3">
      <c r="A77" s="3" t="s">
        <v>82</v>
      </c>
      <c r="B77" s="7">
        <v>21834.665000000001</v>
      </c>
      <c r="C77" s="11">
        <f t="shared" si="6"/>
        <v>4.8632786729440811</v>
      </c>
      <c r="D77" s="7">
        <v>48183.400000000009</v>
      </c>
      <c r="E77" s="11">
        <f t="shared" si="7"/>
        <v>2.434215819040523</v>
      </c>
      <c r="F77" s="7">
        <v>34280.789999999994</v>
      </c>
      <c r="G77" s="11">
        <f t="shared" si="8"/>
        <v>-6.1307587478317878</v>
      </c>
      <c r="H77" s="7">
        <v>19021.84</v>
      </c>
      <c r="I77" s="11">
        <f t="shared" si="9"/>
        <v>0.16325324761883456</v>
      </c>
      <c r="J77" s="7">
        <v>53798.072499999995</v>
      </c>
      <c r="K77" s="11">
        <f t="shared" si="10"/>
        <v>-3.0741257242096091E-2</v>
      </c>
      <c r="L77" s="4">
        <v>8916.7050000000017</v>
      </c>
      <c r="M77" s="11">
        <f t="shared" si="11"/>
        <v>10.052600911251135</v>
      </c>
    </row>
    <row r="78" spans="1:13" x14ac:dyDescent="0.3">
      <c r="A78" s="3" t="s">
        <v>83</v>
      </c>
      <c r="B78" s="7">
        <v>23100.995454545453</v>
      </c>
      <c r="C78" s="11">
        <f t="shared" si="6"/>
        <v>5.7996330813660384</v>
      </c>
      <c r="D78" s="7">
        <v>48364.570454545457</v>
      </c>
      <c r="E78" s="11">
        <f t="shared" si="7"/>
        <v>0.37600180673312505</v>
      </c>
      <c r="F78" s="7">
        <v>33343.340909090912</v>
      </c>
      <c r="G78" s="11">
        <f t="shared" si="8"/>
        <v>-2.7346192748448388</v>
      </c>
      <c r="H78" s="7">
        <v>19151.202272727274</v>
      </c>
      <c r="I78" s="11">
        <f t="shared" si="9"/>
        <v>0.68007234172548026</v>
      </c>
      <c r="J78" s="7">
        <v>55058.931818181816</v>
      </c>
      <c r="K78" s="11">
        <f t="shared" si="10"/>
        <v>2.3436886482909243</v>
      </c>
      <c r="L78" s="4">
        <v>9482.1590909090901</v>
      </c>
      <c r="M78" s="11">
        <f t="shared" si="11"/>
        <v>6.3415139438737542</v>
      </c>
    </row>
    <row r="79" spans="1:13" x14ac:dyDescent="0.3">
      <c r="A79" s="3" t="s">
        <v>84</v>
      </c>
      <c r="B79" s="7">
        <v>24994.794736842108</v>
      </c>
      <c r="C79" s="11">
        <f t="shared" si="6"/>
        <v>8.1979120164885497</v>
      </c>
      <c r="D79" s="7">
        <v>50679.281578947361</v>
      </c>
      <c r="E79" s="11">
        <f t="shared" si="7"/>
        <v>4.7859644004847341</v>
      </c>
      <c r="F79" s="7">
        <v>34649.447368421053</v>
      </c>
      <c r="G79" s="11">
        <f t="shared" si="8"/>
        <v>3.9171433447271551</v>
      </c>
      <c r="H79" s="7">
        <v>19645.389473684208</v>
      </c>
      <c r="I79" s="11">
        <f t="shared" si="9"/>
        <v>2.5804500099750567</v>
      </c>
      <c r="J79" s="7">
        <v>56807.834210526322</v>
      </c>
      <c r="K79" s="11">
        <f t="shared" si="10"/>
        <v>3.176419037913436</v>
      </c>
      <c r="L79" s="4">
        <v>9781.75</v>
      </c>
      <c r="M79" s="11">
        <f t="shared" si="11"/>
        <v>3.1595220689572616</v>
      </c>
    </row>
    <row r="80" spans="1:13" x14ac:dyDescent="0.3">
      <c r="A80" s="3" t="s">
        <v>85</v>
      </c>
      <c r="B80" s="7">
        <v>25549.402272727271</v>
      </c>
      <c r="C80" s="11">
        <f t="shared" si="6"/>
        <v>2.2188921402410093</v>
      </c>
      <c r="D80" s="7">
        <v>52140.361363636373</v>
      </c>
      <c r="E80" s="11">
        <f t="shared" si="7"/>
        <v>2.8829922981701435</v>
      </c>
      <c r="F80" s="7">
        <v>38971.652272727275</v>
      </c>
      <c r="G80" s="11">
        <f t="shared" si="8"/>
        <v>12.474094776603591</v>
      </c>
      <c r="H80" s="7">
        <v>20811.165909090902</v>
      </c>
      <c r="I80" s="11">
        <f t="shared" si="9"/>
        <v>5.9340968371652671</v>
      </c>
      <c r="J80" s="7">
        <v>60091.206818181796</v>
      </c>
      <c r="K80" s="11">
        <f t="shared" si="10"/>
        <v>5.7797883923676761</v>
      </c>
      <c r="L80" s="4">
        <v>9626.2977272727276</v>
      </c>
      <c r="M80" s="11">
        <f t="shared" si="11"/>
        <v>-1.5892071738418219</v>
      </c>
    </row>
    <row r="81" spans="1:13" x14ac:dyDescent="0.3">
      <c r="A81" s="3" t="s">
        <v>86</v>
      </c>
      <c r="B81" s="7">
        <v>25498.928571428565</v>
      </c>
      <c r="C81" s="11">
        <f t="shared" si="6"/>
        <v>-0.19755335471227184</v>
      </c>
      <c r="D81" s="7">
        <v>50667.590476190475</v>
      </c>
      <c r="E81" s="11">
        <f t="shared" si="7"/>
        <v>-2.8246273116032441</v>
      </c>
      <c r="F81" s="7">
        <v>40530.564285714288</v>
      </c>
      <c r="G81" s="11">
        <f t="shared" si="8"/>
        <v>4.0001178345675497</v>
      </c>
      <c r="H81" s="7">
        <v>22413.547619047615</v>
      </c>
      <c r="I81" s="11">
        <f t="shared" si="9"/>
        <v>7.6996248886601197</v>
      </c>
      <c r="J81" s="7">
        <v>62400.228571428561</v>
      </c>
      <c r="K81" s="11">
        <f t="shared" si="10"/>
        <v>3.8425285087603269</v>
      </c>
      <c r="L81" s="4">
        <v>9192.2809523809537</v>
      </c>
      <c r="M81" s="11">
        <f t="shared" si="11"/>
        <v>-4.5086572967937606</v>
      </c>
    </row>
    <row r="82" spans="1:13" x14ac:dyDescent="0.3">
      <c r="A82" s="3" t="s">
        <v>87</v>
      </c>
      <c r="B82" s="7">
        <v>26184.609523809526</v>
      </c>
      <c r="C82" s="11">
        <f t="shared" si="6"/>
        <v>2.6890578969238068</v>
      </c>
      <c r="D82" s="7">
        <v>52427.435714285733</v>
      </c>
      <c r="E82" s="11">
        <f t="shared" si="7"/>
        <v>3.4733154301510321</v>
      </c>
      <c r="F82" s="7">
        <v>42492.988095238099</v>
      </c>
      <c r="G82" s="11">
        <f t="shared" si="8"/>
        <v>4.8418368806562651</v>
      </c>
      <c r="H82" s="7">
        <v>23346.559523809519</v>
      </c>
      <c r="I82" s="11">
        <f t="shared" si="9"/>
        <v>4.1627140897990058</v>
      </c>
      <c r="J82" s="7">
        <v>64856.649999999994</v>
      </c>
      <c r="K82" s="11">
        <f t="shared" si="10"/>
        <v>3.9365583825700359</v>
      </c>
      <c r="L82" s="4">
        <v>9431.6357142857141</v>
      </c>
      <c r="M82" s="11">
        <f t="shared" si="11"/>
        <v>2.6038669090370168</v>
      </c>
    </row>
    <row r="83" spans="1:13" x14ac:dyDescent="0.3">
      <c r="A83" s="3" t="s">
        <v>88</v>
      </c>
      <c r="B83" s="7">
        <v>25301.818181818177</v>
      </c>
      <c r="C83" s="11">
        <f t="shared" si="6"/>
        <v>-3.3714130477623958</v>
      </c>
      <c r="D83" s="7">
        <v>51544.872727272748</v>
      </c>
      <c r="E83" s="11">
        <f t="shared" si="7"/>
        <v>-1.683399111531406</v>
      </c>
      <c r="F83" s="7">
        <v>42087.552272727276</v>
      </c>
      <c r="G83" s="11">
        <f t="shared" si="8"/>
        <v>-0.95412405830847435</v>
      </c>
      <c r="H83" s="7">
        <v>23294.995454545457</v>
      </c>
      <c r="I83" s="11">
        <f t="shared" si="9"/>
        <v>-0.22086367463041451</v>
      </c>
      <c r="J83" s="7">
        <v>61409.97954545456</v>
      </c>
      <c r="K83" s="11">
        <f t="shared" si="10"/>
        <v>-5.3142899834410731</v>
      </c>
      <c r="L83" s="4">
        <v>9651.8613636363661</v>
      </c>
      <c r="M83" s="11">
        <f t="shared" si="11"/>
        <v>2.3349677195132248</v>
      </c>
    </row>
    <row r="84" spans="1:13" x14ac:dyDescent="0.3">
      <c r="A84" s="3" t="s">
        <v>89</v>
      </c>
      <c r="B84" s="7">
        <v>23468.718421052632</v>
      </c>
      <c r="C84" s="11">
        <f t="shared" si="6"/>
        <v>-7.2449329435257948</v>
      </c>
      <c r="D84" s="7">
        <v>51439.778947368424</v>
      </c>
      <c r="E84" s="11">
        <f t="shared" si="7"/>
        <v>-0.20388794140666916</v>
      </c>
      <c r="F84" s="7">
        <v>42282.1</v>
      </c>
      <c r="G84" s="11">
        <f t="shared" si="8"/>
        <v>0.46224528813662796</v>
      </c>
      <c r="H84" s="7">
        <v>22368.610526315784</v>
      </c>
      <c r="I84" s="11">
        <f t="shared" si="9"/>
        <v>-3.9767551362578639</v>
      </c>
      <c r="J84" s="7">
        <v>57547.813157894736</v>
      </c>
      <c r="K84" s="11">
        <f t="shared" si="10"/>
        <v>-6.2891510730778188</v>
      </c>
      <c r="L84" s="4">
        <v>9090.7105263157882</v>
      </c>
      <c r="M84" s="11">
        <f t="shared" si="11"/>
        <v>-5.8139131529046617</v>
      </c>
    </row>
    <row r="85" spans="1:13" x14ac:dyDescent="0.3">
      <c r="A85" s="3" t="s">
        <v>90</v>
      </c>
      <c r="B85" s="7">
        <v>23351.476190476187</v>
      </c>
      <c r="C85" s="11">
        <f t="shared" si="6"/>
        <v>-0.4995680994292071</v>
      </c>
      <c r="D85" s="7">
        <v>52385.614285714284</v>
      </c>
      <c r="E85" s="11">
        <f t="shared" si="7"/>
        <v>1.8387235670542228</v>
      </c>
      <c r="F85" s="7">
        <v>44541.176190476188</v>
      </c>
      <c r="G85" s="11">
        <f t="shared" si="8"/>
        <v>5.3428665806007496</v>
      </c>
      <c r="H85" s="7">
        <v>22631.540476190479</v>
      </c>
      <c r="I85" s="11">
        <f t="shared" si="9"/>
        <v>1.1754415839346317</v>
      </c>
      <c r="J85" s="7">
        <v>56718.361904761899</v>
      </c>
      <c r="K85" s="11">
        <f t="shared" si="10"/>
        <v>-1.4413254085903482</v>
      </c>
      <c r="L85" s="4">
        <v>9121.3761904761905</v>
      </c>
      <c r="M85" s="11">
        <f t="shared" si="11"/>
        <v>0.3373296737546671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9F4E4-D9D3-4001-BB7D-683EDA5A29F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BEB89-A27C-452A-85E2-60416135D12E}">
  <dimension ref="A1:R85"/>
  <sheetViews>
    <sheetView workbookViewId="0">
      <selection activeCell="R3" sqref="R3"/>
    </sheetView>
  </sheetViews>
  <sheetFormatPr defaultRowHeight="14.4" x14ac:dyDescent="0.3"/>
  <cols>
    <col min="1" max="1" width="13" customWidth="1"/>
    <col min="2" max="2" width="0" hidden="1" customWidth="1"/>
    <col min="3" max="3" width="12.88671875" customWidth="1"/>
    <col min="4" max="4" width="14.44140625" hidden="1" customWidth="1"/>
    <col min="5" max="5" width="15.88671875" customWidth="1"/>
    <col min="6" max="6" width="0" hidden="1" customWidth="1"/>
    <col min="7" max="7" width="13" customWidth="1"/>
    <col min="8" max="8" width="0" hidden="1" customWidth="1"/>
    <col min="9" max="9" width="17.44140625" customWidth="1"/>
    <col min="10" max="10" width="0" hidden="1" customWidth="1"/>
    <col min="11" max="11" width="14.77734375" customWidth="1"/>
    <col min="12" max="12" width="0" hidden="1" customWidth="1"/>
    <col min="13" max="13" width="16.88671875" customWidth="1"/>
    <col min="17" max="17" width="11.5546875" customWidth="1"/>
    <col min="18" max="18" width="12.88671875" customWidth="1"/>
  </cols>
  <sheetData>
    <row r="1" spans="1:18" x14ac:dyDescent="0.3">
      <c r="A1" s="5" t="s">
        <v>0</v>
      </c>
      <c r="B1" s="5" t="s">
        <v>1</v>
      </c>
      <c r="C1" s="9" t="s">
        <v>91</v>
      </c>
      <c r="D1" s="5" t="s">
        <v>2</v>
      </c>
      <c r="E1" s="9" t="s">
        <v>92</v>
      </c>
      <c r="F1" s="5" t="s">
        <v>3</v>
      </c>
      <c r="G1" s="9" t="s">
        <v>93</v>
      </c>
      <c r="H1" s="5" t="s">
        <v>4</v>
      </c>
      <c r="I1" s="9" t="s">
        <v>94</v>
      </c>
      <c r="J1" s="5" t="s">
        <v>5</v>
      </c>
      <c r="K1" s="9" t="s">
        <v>95</v>
      </c>
      <c r="L1" s="6" t="s">
        <v>6</v>
      </c>
      <c r="M1" s="9" t="s">
        <v>96</v>
      </c>
      <c r="Q1" s="29" t="s">
        <v>105</v>
      </c>
      <c r="R1" s="29"/>
    </row>
    <row r="2" spans="1:18" x14ac:dyDescent="0.3">
      <c r="A2" s="3" t="s">
        <v>7</v>
      </c>
      <c r="B2" s="7">
        <v>11771.863636363636</v>
      </c>
      <c r="C2" s="10" t="s">
        <v>97</v>
      </c>
      <c r="D2" s="7">
        <v>26302.254545454543</v>
      </c>
      <c r="E2" s="10" t="s">
        <v>97</v>
      </c>
      <c r="F2" s="7">
        <v>12345.977272727272</v>
      </c>
      <c r="G2" s="10" t="s">
        <v>97</v>
      </c>
      <c r="H2" s="7">
        <v>9762.4045454545449</v>
      </c>
      <c r="I2" s="10" t="s">
        <v>97</v>
      </c>
      <c r="J2" s="7">
        <v>27212.922727272726</v>
      </c>
      <c r="K2" s="10" t="s">
        <v>97</v>
      </c>
      <c r="L2" s="8">
        <v>4096.0477272727276</v>
      </c>
      <c r="M2" s="10" t="s">
        <v>97</v>
      </c>
      <c r="Q2" s="3" t="s">
        <v>106</v>
      </c>
      <c r="R2" s="3" t="s">
        <v>107</v>
      </c>
    </row>
    <row r="3" spans="1:18" x14ac:dyDescent="0.3">
      <c r="A3" s="3" t="s">
        <v>8</v>
      </c>
      <c r="B3" s="7">
        <v>11191.047368421054</v>
      </c>
      <c r="C3" s="11">
        <f t="shared" ref="C3:C34" si="0">(B3-B2)/B2*100</f>
        <v>-4.9339364257365643</v>
      </c>
      <c r="D3" s="7">
        <v>25556.502631578951</v>
      </c>
      <c r="E3" s="11">
        <f>(D3-D2)/D2*100</f>
        <v>-2.8353155528428662</v>
      </c>
      <c r="F3" s="7">
        <v>12628.915789473684</v>
      </c>
      <c r="G3" s="11">
        <f>(F3-F2)/F2*100</f>
        <v>2.2917466191310214</v>
      </c>
      <c r="H3" s="7">
        <v>9178.9394736842096</v>
      </c>
      <c r="I3" s="11">
        <f>(H3-H2)/H2*100</f>
        <v>-5.9766532830479902</v>
      </c>
      <c r="J3" s="7">
        <v>26720.989473684207</v>
      </c>
      <c r="K3" s="11">
        <f>(J3-J2)/J2*100</f>
        <v>-1.8077192902749266</v>
      </c>
      <c r="L3" s="8">
        <v>3976.1763157894734</v>
      </c>
      <c r="M3" s="11">
        <f>(L3-L2)/L2*100</f>
        <v>-2.9265140316875211</v>
      </c>
      <c r="Q3" s="3" t="s">
        <v>98</v>
      </c>
      <c r="R3" s="11">
        <f>_xlfn.STDEV.S(C2:C85)</f>
        <v>6.1004237277468425</v>
      </c>
    </row>
    <row r="4" spans="1:18" x14ac:dyDescent="0.3">
      <c r="A4" s="3" t="s">
        <v>9</v>
      </c>
      <c r="B4" s="7">
        <v>10889.752631578949</v>
      </c>
      <c r="C4" s="11">
        <f t="shared" si="0"/>
        <v>-2.6922836346158214</v>
      </c>
      <c r="D4" s="7">
        <v>24422.971052631583</v>
      </c>
      <c r="E4" s="11">
        <f t="shared" ref="E4:E67" si="1">(D4-D3)/D3*100</f>
        <v>-4.4353939789348056</v>
      </c>
      <c r="F4" s="7">
        <v>12658.276315789475</v>
      </c>
      <c r="G4" s="11">
        <f t="shared" ref="G4:G67" si="2">(F4-F3)/F3*100</f>
        <v>0.23248651590711983</v>
      </c>
      <c r="H4" s="7">
        <v>8679.2052631578936</v>
      </c>
      <c r="I4" s="11">
        <f t="shared" ref="I4:I67" si="3">(H4-H3)/H3*100</f>
        <v>-5.4443567468664709</v>
      </c>
      <c r="J4" s="7">
        <v>26184.849999999995</v>
      </c>
      <c r="K4" s="11">
        <f t="shared" ref="K4:K67" si="4">(J4-J3)/J3*100</f>
        <v>-2.0064357055797712</v>
      </c>
      <c r="L4" s="8">
        <v>3675.8868421052625</v>
      </c>
      <c r="M4" s="11">
        <f t="shared" ref="M4:M67" si="5">(L4-L3)/L3*100</f>
        <v>-7.5522172518294903</v>
      </c>
      <c r="Q4" s="3" t="s">
        <v>99</v>
      </c>
      <c r="R4" s="11">
        <f>_xlfn.STDEV.S(E2:E85)</f>
        <v>5.7137013774414775</v>
      </c>
    </row>
    <row r="5" spans="1:18" x14ac:dyDescent="0.3">
      <c r="A5" s="3" t="s">
        <v>10</v>
      </c>
      <c r="B5" s="7">
        <v>11429.723809523808</v>
      </c>
      <c r="C5" s="11">
        <f t="shared" si="0"/>
        <v>4.9585256544671976</v>
      </c>
      <c r="D5" s="7">
        <v>24999.902380952379</v>
      </c>
      <c r="E5" s="11">
        <f t="shared" si="1"/>
        <v>2.3622487496607469</v>
      </c>
      <c r="F5" s="7">
        <v>13215.090476190477</v>
      </c>
      <c r="G5" s="11">
        <f t="shared" si="2"/>
        <v>4.3988150243367006</v>
      </c>
      <c r="H5" s="7">
        <v>8862.9452380952371</v>
      </c>
      <c r="I5" s="11">
        <f t="shared" si="3"/>
        <v>2.1170138205775126</v>
      </c>
      <c r="J5" s="7">
        <v>27480.978571428575</v>
      </c>
      <c r="K5" s="11">
        <f t="shared" si="4"/>
        <v>4.9499178778132427</v>
      </c>
      <c r="L5" s="8">
        <v>3710.5976190476199</v>
      </c>
      <c r="M5" s="11">
        <f t="shared" si="5"/>
        <v>0.94428306510321547</v>
      </c>
      <c r="Q5" s="3" t="s">
        <v>100</v>
      </c>
      <c r="R5" s="11">
        <f>_xlfn.STDEV.S(G2:G85)</f>
        <v>5.4391798465849419</v>
      </c>
    </row>
    <row r="6" spans="1:18" x14ac:dyDescent="0.3">
      <c r="A6" s="3" t="s">
        <v>11</v>
      </c>
      <c r="B6" s="7">
        <v>11147.31590909091</v>
      </c>
      <c r="C6" s="11">
        <f t="shared" si="0"/>
        <v>-2.4708199877724222</v>
      </c>
      <c r="D6" s="7">
        <v>26099.893181818188</v>
      </c>
      <c r="E6" s="11">
        <f t="shared" si="1"/>
        <v>4.3999803843390239</v>
      </c>
      <c r="F6" s="7">
        <v>13524.504545454547</v>
      </c>
      <c r="G6" s="11">
        <f t="shared" si="2"/>
        <v>2.3413692840131453</v>
      </c>
      <c r="H6" s="7">
        <v>8560.6863636363632</v>
      </c>
      <c r="I6" s="11">
        <f t="shared" si="3"/>
        <v>-3.4103660390418162</v>
      </c>
      <c r="J6" s="7">
        <v>28569.118181818179</v>
      </c>
      <c r="K6" s="11">
        <f t="shared" si="4"/>
        <v>3.9596101265510288</v>
      </c>
      <c r="L6" s="8">
        <v>3628.7704545454549</v>
      </c>
      <c r="M6" s="11">
        <f t="shared" si="5"/>
        <v>-2.2052287233226648</v>
      </c>
      <c r="Q6" s="3" t="s">
        <v>101</v>
      </c>
      <c r="R6" s="11">
        <f>_xlfn.STDEV.S(I2:I85)</f>
        <v>5.0732182919898152</v>
      </c>
    </row>
    <row r="7" spans="1:18" x14ac:dyDescent="0.3">
      <c r="A7" s="3" t="s">
        <v>12</v>
      </c>
      <c r="B7" s="7">
        <v>11057.300000000003</v>
      </c>
      <c r="C7" s="11">
        <f t="shared" si="0"/>
        <v>-0.80751195915688712</v>
      </c>
      <c r="D7" s="7">
        <v>26478.159523809521</v>
      </c>
      <c r="E7" s="11">
        <f t="shared" si="1"/>
        <v>1.4493022609565418</v>
      </c>
      <c r="F7" s="7">
        <v>13813.552380952377</v>
      </c>
      <c r="G7" s="11">
        <f t="shared" si="2"/>
        <v>2.1372157074321487</v>
      </c>
      <c r="H7" s="7">
        <v>8993.1999999999989</v>
      </c>
      <c r="I7" s="11">
        <f t="shared" si="3"/>
        <v>5.0523242879314507</v>
      </c>
      <c r="J7" s="7">
        <v>28671.88571428572</v>
      </c>
      <c r="K7" s="11">
        <f t="shared" si="4"/>
        <v>0.35971545153585793</v>
      </c>
      <c r="L7" s="8">
        <v>3514.4452380952371</v>
      </c>
      <c r="M7" s="11">
        <f t="shared" si="5"/>
        <v>-3.150522136417095</v>
      </c>
      <c r="Q7" s="3" t="s">
        <v>102</v>
      </c>
      <c r="R7" s="11">
        <f>_xlfn.STDEV.S(K2:K85)</f>
        <v>3.943533334358972</v>
      </c>
    </row>
    <row r="8" spans="1:18" x14ac:dyDescent="0.3">
      <c r="A8" s="3" t="s">
        <v>13</v>
      </c>
      <c r="B8" s="7">
        <v>10911.03409090909</v>
      </c>
      <c r="C8" s="11">
        <f t="shared" si="0"/>
        <v>-1.3227994997957258</v>
      </c>
      <c r="D8" s="7">
        <v>26917.50454545454</v>
      </c>
      <c r="E8" s="11">
        <f t="shared" si="1"/>
        <v>1.6592732634983682</v>
      </c>
      <c r="F8" s="7">
        <v>14422.772727272728</v>
      </c>
      <c r="G8" s="11">
        <f t="shared" si="2"/>
        <v>4.4103090176891095</v>
      </c>
      <c r="H8" s="7">
        <v>9184.5136363636375</v>
      </c>
      <c r="I8" s="11">
        <f t="shared" si="3"/>
        <v>2.1273143749014656</v>
      </c>
      <c r="J8" s="7">
        <v>29691.981818181815</v>
      </c>
      <c r="K8" s="11">
        <f t="shared" si="4"/>
        <v>3.5578270437505082</v>
      </c>
      <c r="L8" s="8">
        <v>3272.0136363636357</v>
      </c>
      <c r="M8" s="11">
        <f t="shared" si="5"/>
        <v>-6.8981470846020283</v>
      </c>
      <c r="Q8" s="3" t="s">
        <v>103</v>
      </c>
      <c r="R8" s="11">
        <f>_xlfn.STDEV.S(M2:M85)</f>
        <v>7.80198996902228</v>
      </c>
    </row>
    <row r="9" spans="1:18" x14ac:dyDescent="0.3">
      <c r="A9" s="3" t="s">
        <v>14</v>
      </c>
      <c r="B9" s="7">
        <v>10893.947619047618</v>
      </c>
      <c r="C9" s="11">
        <f t="shared" si="0"/>
        <v>-0.15659809802728308</v>
      </c>
      <c r="D9" s="7">
        <v>28000.859523809522</v>
      </c>
      <c r="E9" s="11">
        <f t="shared" si="1"/>
        <v>4.0247229327130354</v>
      </c>
      <c r="F9" s="7">
        <v>15034.68095238095</v>
      </c>
      <c r="G9" s="11">
        <f t="shared" si="2"/>
        <v>4.2426531754961001</v>
      </c>
      <c r="H9" s="7">
        <v>9759.476190476189</v>
      </c>
      <c r="I9" s="11">
        <f t="shared" si="3"/>
        <v>6.2601306598984223</v>
      </c>
      <c r="J9" s="7">
        <v>31925.004761904762</v>
      </c>
      <c r="K9" s="11">
        <f t="shared" si="4"/>
        <v>7.5206261319867833</v>
      </c>
      <c r="L9" s="8">
        <v>3463.721428571429</v>
      </c>
      <c r="M9" s="11">
        <f t="shared" si="5"/>
        <v>5.8590156861585845</v>
      </c>
    </row>
    <row r="10" spans="1:18" x14ac:dyDescent="0.3">
      <c r="A10" s="3" t="s">
        <v>15</v>
      </c>
      <c r="B10" s="7">
        <v>10505.508333333331</v>
      </c>
      <c r="C10" s="11">
        <f t="shared" si="0"/>
        <v>-3.5656430460076431</v>
      </c>
      <c r="D10" s="7">
        <v>26474.652777777777</v>
      </c>
      <c r="E10" s="11">
        <f t="shared" si="1"/>
        <v>-5.4505710609847169</v>
      </c>
      <c r="F10" s="7">
        <v>16026.202777777777</v>
      </c>
      <c r="G10" s="11">
        <f t="shared" si="2"/>
        <v>6.5948976804845714</v>
      </c>
      <c r="H10" s="7">
        <v>10518.836111111112</v>
      </c>
      <c r="I10" s="11">
        <f t="shared" si="3"/>
        <v>7.7807446405366107</v>
      </c>
      <c r="J10" s="7">
        <v>30624.961111111108</v>
      </c>
      <c r="K10" s="11">
        <f t="shared" si="4"/>
        <v>-4.0721799745663949</v>
      </c>
      <c r="L10" s="8">
        <v>3643.8222222222216</v>
      </c>
      <c r="M10" s="11">
        <f t="shared" si="5"/>
        <v>5.1996327465939745</v>
      </c>
    </row>
    <row r="11" spans="1:18" x14ac:dyDescent="0.3">
      <c r="A11" s="3" t="s">
        <v>16</v>
      </c>
      <c r="B11" s="7">
        <v>8893.75476190476</v>
      </c>
      <c r="C11" s="11">
        <f t="shared" si="0"/>
        <v>-15.341985559276333</v>
      </c>
      <c r="D11" s="7">
        <v>24993.985714285711</v>
      </c>
      <c r="E11" s="11">
        <f t="shared" si="1"/>
        <v>-5.5927723620039496</v>
      </c>
      <c r="F11" s="7">
        <v>14813.847619047618</v>
      </c>
      <c r="G11" s="11">
        <f t="shared" si="2"/>
        <v>-7.5648310179329101</v>
      </c>
      <c r="H11" s="7">
        <v>9730.6261904761905</v>
      </c>
      <c r="I11" s="11">
        <f t="shared" si="3"/>
        <v>-7.49331876938676</v>
      </c>
      <c r="J11" s="7">
        <v>28362.659523809529</v>
      </c>
      <c r="K11" s="11">
        <f t="shared" si="4"/>
        <v>-7.3871166043074217</v>
      </c>
      <c r="L11" s="8">
        <v>3390.8095238095239</v>
      </c>
      <c r="M11" s="11">
        <f t="shared" si="5"/>
        <v>-6.9436070966819958</v>
      </c>
    </row>
    <row r="12" spans="1:18" x14ac:dyDescent="0.3">
      <c r="A12" s="3" t="s">
        <v>17</v>
      </c>
      <c r="B12" s="7">
        <v>9132.0974999999999</v>
      </c>
      <c r="C12" s="11">
        <f t="shared" si="0"/>
        <v>2.6798888037271942</v>
      </c>
      <c r="D12" s="7">
        <v>26062.377500000006</v>
      </c>
      <c r="E12" s="11">
        <f t="shared" si="1"/>
        <v>4.2745954884003909</v>
      </c>
      <c r="F12" s="7">
        <v>14419.825000000001</v>
      </c>
      <c r="G12" s="11">
        <f t="shared" si="2"/>
        <v>-2.6598263272330636</v>
      </c>
      <c r="H12" s="7">
        <v>9452.2124999999996</v>
      </c>
      <c r="I12" s="11">
        <f t="shared" si="3"/>
        <v>-2.8612104198256745</v>
      </c>
      <c r="J12" s="7">
        <v>29194.719999999994</v>
      </c>
      <c r="K12" s="11">
        <f t="shared" si="4"/>
        <v>2.9336475851003234</v>
      </c>
      <c r="L12" s="8">
        <v>3322.6875</v>
      </c>
      <c r="M12" s="11">
        <f t="shared" si="5"/>
        <v>-2.0090194784220667</v>
      </c>
    </row>
    <row r="13" spans="1:18" x14ac:dyDescent="0.3">
      <c r="A13" s="3" t="s">
        <v>18</v>
      </c>
      <c r="B13" s="7">
        <v>9181.8050000000003</v>
      </c>
      <c r="C13" s="11">
        <f t="shared" si="0"/>
        <v>0.54431635229475417</v>
      </c>
      <c r="D13" s="7">
        <v>26795.75</v>
      </c>
      <c r="E13" s="11">
        <f t="shared" si="1"/>
        <v>2.8139125066390962</v>
      </c>
      <c r="F13" s="7">
        <v>14603.630000000001</v>
      </c>
      <c r="G13" s="11">
        <f t="shared" si="2"/>
        <v>1.2746687286426865</v>
      </c>
      <c r="H13" s="7">
        <v>8874.9675000000025</v>
      </c>
      <c r="I13" s="11">
        <f t="shared" si="3"/>
        <v>-6.106982888926769</v>
      </c>
      <c r="J13" s="7">
        <v>30182.837500000001</v>
      </c>
      <c r="K13" s="11">
        <f t="shared" si="4"/>
        <v>3.384576046627636</v>
      </c>
      <c r="L13" s="8">
        <v>3133.0150000000003</v>
      </c>
      <c r="M13" s="11">
        <f t="shared" si="5"/>
        <v>-5.7084062223726928</v>
      </c>
    </row>
    <row r="14" spans="1:18" x14ac:dyDescent="0.3">
      <c r="A14" s="3" t="s">
        <v>19</v>
      </c>
      <c r="B14" s="7">
        <v>8687.1152173913051</v>
      </c>
      <c r="C14" s="11">
        <f t="shared" si="0"/>
        <v>-5.3877182385020719</v>
      </c>
      <c r="D14" s="7">
        <v>27276.204347826086</v>
      </c>
      <c r="E14" s="11">
        <f t="shared" si="1"/>
        <v>1.7930244453918467</v>
      </c>
      <c r="F14" s="7">
        <v>14700.771739130438</v>
      </c>
      <c r="G14" s="11">
        <f t="shared" si="2"/>
        <v>0.66518899157563349</v>
      </c>
      <c r="H14" s="7">
        <v>8918.1630434782601</v>
      </c>
      <c r="I14" s="11">
        <f t="shared" si="3"/>
        <v>0.48671213137690467</v>
      </c>
      <c r="J14" s="7">
        <v>30294.445652173901</v>
      </c>
      <c r="K14" s="11">
        <f t="shared" si="4"/>
        <v>0.36977355814840046</v>
      </c>
      <c r="L14" s="8">
        <v>2947.5195652173911</v>
      </c>
      <c r="M14" s="11">
        <f t="shared" si="5"/>
        <v>-5.920668582263704</v>
      </c>
    </row>
    <row r="15" spans="1:18" x14ac:dyDescent="0.3">
      <c r="A15" s="3" t="s">
        <v>20</v>
      </c>
      <c r="B15" s="7">
        <v>8320.2724999999991</v>
      </c>
      <c r="C15" s="11">
        <f t="shared" si="0"/>
        <v>-4.2228370202446435</v>
      </c>
      <c r="D15" s="7">
        <v>27021.644999999997</v>
      </c>
      <c r="E15" s="11">
        <f t="shared" si="1"/>
        <v>-0.9332652908005411</v>
      </c>
      <c r="F15" s="7">
        <v>15831.927499999996</v>
      </c>
      <c r="G15" s="11">
        <f t="shared" si="2"/>
        <v>7.6945331914694926</v>
      </c>
      <c r="H15" s="7">
        <v>8893.7475000000013</v>
      </c>
      <c r="I15" s="11">
        <f t="shared" si="3"/>
        <v>-0.27377323512955448</v>
      </c>
      <c r="J15" s="7">
        <v>29496.792500000003</v>
      </c>
      <c r="K15" s="11">
        <f t="shared" si="4"/>
        <v>-2.6330013142744506</v>
      </c>
      <c r="L15" s="8">
        <v>2780.1875</v>
      </c>
      <c r="M15" s="11">
        <f t="shared" si="5"/>
        <v>-5.6770468020642211</v>
      </c>
    </row>
    <row r="16" spans="1:18" x14ac:dyDescent="0.3">
      <c r="A16" s="3" t="s">
        <v>21</v>
      </c>
      <c r="B16" s="7">
        <v>8530.1868421052641</v>
      </c>
      <c r="C16" s="11">
        <f t="shared" si="0"/>
        <v>2.5229262876337879</v>
      </c>
      <c r="D16" s="7">
        <v>28955.702631578944</v>
      </c>
      <c r="E16" s="11">
        <f t="shared" si="1"/>
        <v>7.1574385333644495</v>
      </c>
      <c r="F16" s="7">
        <v>15498.652631578949</v>
      </c>
      <c r="G16" s="11">
        <f t="shared" si="2"/>
        <v>-2.1050808148347535</v>
      </c>
      <c r="H16" s="7">
        <v>9231.7052631578936</v>
      </c>
      <c r="I16" s="11">
        <f t="shared" si="3"/>
        <v>3.799947807804215</v>
      </c>
      <c r="J16" s="7">
        <v>30090.557894736841</v>
      </c>
      <c r="K16" s="11">
        <f t="shared" si="4"/>
        <v>2.0129829191999029</v>
      </c>
      <c r="L16" s="8">
        <v>2995.6973684210525</v>
      </c>
      <c r="M16" s="11">
        <f t="shared" si="5"/>
        <v>7.7516307235052482</v>
      </c>
    </row>
    <row r="17" spans="1:13" x14ac:dyDescent="0.3">
      <c r="A17" s="3" t="s">
        <v>22</v>
      </c>
      <c r="B17" s="7">
        <v>8642.3315789473691</v>
      </c>
      <c r="C17" s="11">
        <f t="shared" si="0"/>
        <v>1.3146808964201711</v>
      </c>
      <c r="D17" s="7">
        <v>29972.526315789473</v>
      </c>
      <c r="E17" s="11">
        <f t="shared" si="1"/>
        <v>3.5116525996560899</v>
      </c>
      <c r="F17" s="7">
        <v>16101.181578947371</v>
      </c>
      <c r="G17" s="11">
        <f t="shared" si="2"/>
        <v>3.8876214706609553</v>
      </c>
      <c r="H17" s="7">
        <v>9427.8684210526353</v>
      </c>
      <c r="I17" s="11">
        <f t="shared" si="3"/>
        <v>2.1248854063570932</v>
      </c>
      <c r="J17" s="7">
        <v>30270.997368421064</v>
      </c>
      <c r="K17" s="11">
        <f t="shared" si="4"/>
        <v>0.59965479641633068</v>
      </c>
      <c r="L17" s="8">
        <v>3085.8973684210523</v>
      </c>
      <c r="M17" s="11">
        <f t="shared" si="5"/>
        <v>3.0109850531244313</v>
      </c>
    </row>
    <row r="18" spans="1:13" x14ac:dyDescent="0.3">
      <c r="A18" s="3" t="s">
        <v>23</v>
      </c>
      <c r="B18" s="7">
        <v>8196.363636363636</v>
      </c>
      <c r="C18" s="11">
        <f t="shared" si="0"/>
        <v>-5.1602734575714075</v>
      </c>
      <c r="D18" s="7">
        <v>30025.913636363635</v>
      </c>
      <c r="E18" s="11">
        <f t="shared" si="1"/>
        <v>0.17812085645258957</v>
      </c>
      <c r="F18" s="7">
        <v>15909.645454545454</v>
      </c>
      <c r="G18" s="11">
        <f t="shared" si="2"/>
        <v>-1.1895780658256427</v>
      </c>
      <c r="H18" s="7">
        <v>8819.447727272729</v>
      </c>
      <c r="I18" s="11">
        <f t="shared" si="3"/>
        <v>-6.4534279288549437</v>
      </c>
      <c r="J18" s="7">
        <v>29770.002272727274</v>
      </c>
      <c r="K18" s="11">
        <f t="shared" si="4"/>
        <v>-1.6550333297456266</v>
      </c>
      <c r="L18" s="8">
        <v>2910.693181818182</v>
      </c>
      <c r="M18" s="11">
        <f t="shared" si="5"/>
        <v>-5.6775765907119684</v>
      </c>
    </row>
    <row r="19" spans="1:13" x14ac:dyDescent="0.3">
      <c r="A19" s="3" t="s">
        <v>24</v>
      </c>
      <c r="B19" s="7">
        <v>8034.4315789473694</v>
      </c>
      <c r="C19" s="11">
        <f t="shared" si="0"/>
        <v>-1.9756573109792956</v>
      </c>
      <c r="D19" s="7">
        <v>30916.010526315793</v>
      </c>
      <c r="E19" s="11">
        <f t="shared" si="1"/>
        <v>2.9644289953401568</v>
      </c>
      <c r="F19" s="7">
        <v>16220.023684210528</v>
      </c>
      <c r="G19" s="11">
        <f t="shared" si="2"/>
        <v>1.9508808700472768</v>
      </c>
      <c r="H19" s="7">
        <v>8189.9000000000005</v>
      </c>
      <c r="I19" s="11">
        <f t="shared" si="3"/>
        <v>-7.1381762978871457</v>
      </c>
      <c r="J19" s="7">
        <v>29862.986842105263</v>
      </c>
      <c r="K19" s="11">
        <f t="shared" si="4"/>
        <v>0.31234317191562433</v>
      </c>
      <c r="L19" s="8">
        <v>2937.2605263157893</v>
      </c>
      <c r="M19" s="11">
        <f t="shared" si="5"/>
        <v>0.91274974166160261</v>
      </c>
    </row>
    <row r="20" spans="1:13" x14ac:dyDescent="0.3">
      <c r="A20" s="3" t="s">
        <v>25</v>
      </c>
      <c r="B20" s="7">
        <v>7471.7673913043473</v>
      </c>
      <c r="C20" s="11">
        <f t="shared" si="0"/>
        <v>-7.0031611087133001</v>
      </c>
      <c r="D20" s="7">
        <v>30202.126086956523</v>
      </c>
      <c r="E20" s="11">
        <f t="shared" si="1"/>
        <v>-2.3091091871365794</v>
      </c>
      <c r="F20" s="7">
        <v>15526.95652173913</v>
      </c>
      <c r="G20" s="11">
        <f t="shared" si="2"/>
        <v>-4.2729109153278726</v>
      </c>
      <c r="H20" s="7">
        <v>8168.2869565217397</v>
      </c>
      <c r="I20" s="11">
        <f t="shared" si="3"/>
        <v>-0.26389874697201193</v>
      </c>
      <c r="J20" s="7">
        <v>29303.228260869564</v>
      </c>
      <c r="K20" s="11">
        <f t="shared" si="4"/>
        <v>-1.874422622878662</v>
      </c>
      <c r="L20" s="8">
        <v>2789.9891304347821</v>
      </c>
      <c r="M20" s="11">
        <f t="shared" si="5"/>
        <v>-5.0139030760655752</v>
      </c>
    </row>
    <row r="21" spans="1:13" x14ac:dyDescent="0.3">
      <c r="A21" s="3" t="s">
        <v>26</v>
      </c>
      <c r="B21" s="7">
        <v>6966.2124999999996</v>
      </c>
      <c r="C21" s="11">
        <f t="shared" si="0"/>
        <v>-6.7662022226858003</v>
      </c>
      <c r="D21" s="7">
        <v>27847.3675</v>
      </c>
      <c r="E21" s="11">
        <f t="shared" si="1"/>
        <v>-7.7966649770841094</v>
      </c>
      <c r="F21" s="7">
        <v>15634.809999999998</v>
      </c>
      <c r="G21" s="11">
        <f t="shared" si="2"/>
        <v>0.69462085573475463</v>
      </c>
      <c r="H21" s="7">
        <v>7897.5325000000012</v>
      </c>
      <c r="I21" s="11">
        <f t="shared" si="3"/>
        <v>-3.3147030456069162</v>
      </c>
      <c r="J21" s="7">
        <v>28810.324999999993</v>
      </c>
      <c r="K21" s="11">
        <f t="shared" si="4"/>
        <v>-1.6820783583349252</v>
      </c>
      <c r="L21" s="8">
        <v>2352.2025000000003</v>
      </c>
      <c r="M21" s="11">
        <f t="shared" si="5"/>
        <v>-15.691338208423723</v>
      </c>
    </row>
    <row r="22" spans="1:13" x14ac:dyDescent="0.3">
      <c r="A22" s="3" t="s">
        <v>27</v>
      </c>
      <c r="B22" s="7">
        <v>7292.1578947368425</v>
      </c>
      <c r="C22" s="11">
        <f t="shared" si="0"/>
        <v>4.6789470567663978</v>
      </c>
      <c r="D22" s="7">
        <v>28238.423684210527</v>
      </c>
      <c r="E22" s="11">
        <f t="shared" si="1"/>
        <v>1.4042842082309115</v>
      </c>
      <c r="F22" s="7">
        <v>15628.602631578942</v>
      </c>
      <c r="G22" s="11">
        <f t="shared" si="2"/>
        <v>-3.9702231245889369E-2</v>
      </c>
      <c r="H22" s="7">
        <v>8019.5184210526304</v>
      </c>
      <c r="I22" s="11">
        <f t="shared" si="3"/>
        <v>1.5446080285535921</v>
      </c>
      <c r="J22" s="7">
        <v>29513.755263157895</v>
      </c>
      <c r="K22" s="11">
        <f t="shared" si="4"/>
        <v>2.4415908642401689</v>
      </c>
      <c r="L22" s="8">
        <v>2405.2447368421049</v>
      </c>
      <c r="M22" s="11">
        <f t="shared" si="5"/>
        <v>2.2550029957924349</v>
      </c>
    </row>
    <row r="23" spans="1:13" x14ac:dyDescent="0.3">
      <c r="A23" s="3" t="s">
        <v>28</v>
      </c>
      <c r="B23" s="7">
        <v>7804.9475000000002</v>
      </c>
      <c r="C23" s="11">
        <f t="shared" si="0"/>
        <v>7.032069418481278</v>
      </c>
      <c r="D23" s="7">
        <v>28884.204999999998</v>
      </c>
      <c r="E23" s="11">
        <f t="shared" si="1"/>
        <v>2.2868886840541256</v>
      </c>
      <c r="F23" s="7">
        <v>15176.397499999997</v>
      </c>
      <c r="G23" s="11">
        <f t="shared" si="2"/>
        <v>-2.8934457048976689</v>
      </c>
      <c r="H23" s="7">
        <v>7597.7624999999998</v>
      </c>
      <c r="I23" s="11">
        <f t="shared" si="3"/>
        <v>-5.2591178037006303</v>
      </c>
      <c r="J23" s="7">
        <v>31178.340000000004</v>
      </c>
      <c r="K23" s="11">
        <f t="shared" si="4"/>
        <v>5.6400302909606861</v>
      </c>
      <c r="L23" s="8">
        <v>2395.3374999999996</v>
      </c>
      <c r="M23" s="11">
        <f t="shared" si="5"/>
        <v>-0.4119014040588927</v>
      </c>
    </row>
    <row r="24" spans="1:13" x14ac:dyDescent="0.3">
      <c r="A24" s="3" t="s">
        <v>29</v>
      </c>
      <c r="B24" s="7">
        <v>8165.0699999999979</v>
      </c>
      <c r="C24" s="11">
        <f t="shared" si="0"/>
        <v>4.6140284736059742</v>
      </c>
      <c r="D24" s="7">
        <v>31077.705000000005</v>
      </c>
      <c r="E24" s="11">
        <f t="shared" si="1"/>
        <v>7.5941158844427505</v>
      </c>
      <c r="F24" s="7">
        <v>15289.347499999998</v>
      </c>
      <c r="G24" s="11">
        <f t="shared" si="2"/>
        <v>0.74424777026300704</v>
      </c>
      <c r="H24" s="7">
        <v>8038.3974999999991</v>
      </c>
      <c r="I24" s="11">
        <f t="shared" si="3"/>
        <v>5.7995363766635153</v>
      </c>
      <c r="J24" s="7">
        <v>31529.499999999993</v>
      </c>
      <c r="K24" s="11">
        <f t="shared" si="4"/>
        <v>1.1262947289688576</v>
      </c>
      <c r="L24" s="8">
        <v>2577.0149999999999</v>
      </c>
      <c r="M24" s="11">
        <f t="shared" si="5"/>
        <v>7.584630558324255</v>
      </c>
    </row>
    <row r="25" spans="1:13" x14ac:dyDescent="0.3">
      <c r="A25" s="3" t="s">
        <v>30</v>
      </c>
      <c r="B25" s="7">
        <v>8042.4214285714279</v>
      </c>
      <c r="C25" s="11">
        <f t="shared" si="0"/>
        <v>-1.5021129203861086</v>
      </c>
      <c r="D25" s="7">
        <v>31926.85476190476</v>
      </c>
      <c r="E25" s="11">
        <f t="shared" si="1"/>
        <v>2.7323438519824896</v>
      </c>
      <c r="F25" s="7">
        <v>15424.971428571427</v>
      </c>
      <c r="G25" s="11">
        <f t="shared" si="2"/>
        <v>0.88704850597076912</v>
      </c>
      <c r="H25" s="7">
        <v>8096.6142857142859</v>
      </c>
      <c r="I25" s="11">
        <f t="shared" si="3"/>
        <v>0.72423372586745993</v>
      </c>
      <c r="J25" s="7">
        <v>30334.511904761912</v>
      </c>
      <c r="K25" s="11">
        <f t="shared" si="4"/>
        <v>-3.7900635761368915</v>
      </c>
      <c r="L25" s="8">
        <v>2643.9571428571426</v>
      </c>
      <c r="M25" s="11">
        <f t="shared" si="5"/>
        <v>2.5976621345682003</v>
      </c>
    </row>
    <row r="26" spans="1:13" x14ac:dyDescent="0.3">
      <c r="A26" s="3" t="s">
        <v>31</v>
      </c>
      <c r="B26" s="7">
        <v>8211.8000000000011</v>
      </c>
      <c r="C26" s="11">
        <f t="shared" si="0"/>
        <v>2.1060643605026783</v>
      </c>
      <c r="D26" s="7">
        <v>31446.391304347835</v>
      </c>
      <c r="E26" s="11">
        <f t="shared" si="1"/>
        <v>-1.5048881612047049</v>
      </c>
      <c r="F26" s="7">
        <v>16177.997826086958</v>
      </c>
      <c r="G26" s="11">
        <f t="shared" si="2"/>
        <v>4.8818657525725566</v>
      </c>
      <c r="H26" s="7">
        <v>8254.1456521739128</v>
      </c>
      <c r="I26" s="11">
        <f t="shared" si="3"/>
        <v>1.945644943684377</v>
      </c>
      <c r="J26" s="7">
        <v>30791.56739130435</v>
      </c>
      <c r="K26" s="11">
        <f t="shared" si="4"/>
        <v>1.5067177872431492</v>
      </c>
      <c r="L26" s="8">
        <v>2786.9630434782612</v>
      </c>
      <c r="M26" s="11">
        <f t="shared" si="5"/>
        <v>5.4087828544218368</v>
      </c>
    </row>
    <row r="27" spans="1:13" x14ac:dyDescent="0.3">
      <c r="A27" s="3" t="s">
        <v>32</v>
      </c>
      <c r="B27" s="7">
        <v>7733.2824999999984</v>
      </c>
      <c r="C27" s="11">
        <f t="shared" si="0"/>
        <v>-5.8271937942960452</v>
      </c>
      <c r="D27" s="7">
        <v>30675.427500000002</v>
      </c>
      <c r="E27" s="11">
        <f t="shared" si="1"/>
        <v>-2.4516765592789613</v>
      </c>
      <c r="F27" s="7">
        <v>16411.647499999999</v>
      </c>
      <c r="G27" s="11">
        <f t="shared" si="2"/>
        <v>1.4442434498061463</v>
      </c>
      <c r="H27" s="7">
        <v>8234.0875000000015</v>
      </c>
      <c r="I27" s="11">
        <f t="shared" si="3"/>
        <v>-0.24300700543888037</v>
      </c>
      <c r="J27" s="7">
        <v>30468.122500000005</v>
      </c>
      <c r="K27" s="11">
        <f t="shared" si="4"/>
        <v>-1.0504333449283496</v>
      </c>
      <c r="L27" s="8">
        <v>2561.8450000000003</v>
      </c>
      <c r="M27" s="11">
        <f t="shared" si="5"/>
        <v>-8.0775396001413426</v>
      </c>
    </row>
    <row r="28" spans="1:13" x14ac:dyDescent="0.3">
      <c r="A28" s="3" t="s">
        <v>33</v>
      </c>
      <c r="B28" s="7">
        <v>5781.8238095238084</v>
      </c>
      <c r="C28" s="11">
        <f t="shared" si="0"/>
        <v>-25.234545491855371</v>
      </c>
      <c r="D28" s="7">
        <v>22936.040476190479</v>
      </c>
      <c r="E28" s="11">
        <f t="shared" si="1"/>
        <v>-25.229923931164521</v>
      </c>
      <c r="F28" s="7">
        <v>13356.3</v>
      </c>
      <c r="G28" s="11">
        <f t="shared" si="2"/>
        <v>-18.616945678366541</v>
      </c>
      <c r="H28" s="7">
        <v>7396.2095238095253</v>
      </c>
      <c r="I28" s="11">
        <f t="shared" si="3"/>
        <v>-10.175723493228315</v>
      </c>
      <c r="J28" s="7">
        <v>26407.204761904763</v>
      </c>
      <c r="K28" s="11">
        <f t="shared" si="4"/>
        <v>-13.328414765613608</v>
      </c>
      <c r="L28" s="8">
        <v>1814.5761904761905</v>
      </c>
      <c r="M28" s="11">
        <f t="shared" si="5"/>
        <v>-29.16916556324874</v>
      </c>
    </row>
    <row r="29" spans="1:13" x14ac:dyDescent="0.3">
      <c r="A29" s="3" t="s">
        <v>34</v>
      </c>
      <c r="B29" s="7">
        <v>5335.9111111111115</v>
      </c>
      <c r="C29" s="11">
        <f t="shared" si="0"/>
        <v>-7.7123190381241029</v>
      </c>
      <c r="D29" s="7">
        <v>19715.116666666665</v>
      </c>
      <c r="E29" s="11">
        <f t="shared" si="1"/>
        <v>-14.04306821339717</v>
      </c>
      <c r="F29" s="7">
        <v>12750.766666666666</v>
      </c>
      <c r="G29" s="11">
        <f t="shared" si="2"/>
        <v>-4.5336907177386916</v>
      </c>
      <c r="H29" s="7">
        <v>9097.2527777777796</v>
      </c>
      <c r="I29" s="11">
        <f t="shared" si="3"/>
        <v>22.998851621122103</v>
      </c>
      <c r="J29" s="7">
        <v>28622.122222222224</v>
      </c>
      <c r="K29" s="11">
        <f t="shared" si="4"/>
        <v>8.3875498383407798</v>
      </c>
      <c r="L29" s="8">
        <v>1693.3083333333334</v>
      </c>
      <c r="M29" s="11">
        <f t="shared" si="5"/>
        <v>-6.6829851388622794</v>
      </c>
    </row>
    <row r="30" spans="1:13" x14ac:dyDescent="0.3">
      <c r="A30" s="3" t="s">
        <v>35</v>
      </c>
      <c r="B30" s="7">
        <v>5702.6052631578941</v>
      </c>
      <c r="C30" s="11">
        <f t="shared" si="0"/>
        <v>6.8721937905450767</v>
      </c>
      <c r="D30" s="7">
        <v>18707.215789473685</v>
      </c>
      <c r="E30" s="11">
        <f t="shared" si="1"/>
        <v>-5.1123251981414279</v>
      </c>
      <c r="F30" s="7">
        <v>13569.336842105264</v>
      </c>
      <c r="G30" s="11">
        <f t="shared" si="2"/>
        <v>6.4197722132153938</v>
      </c>
      <c r="H30" s="7">
        <v>9443.1026315789477</v>
      </c>
      <c r="I30" s="11">
        <f t="shared" si="3"/>
        <v>3.8016955475392451</v>
      </c>
      <c r="J30" s="7">
        <v>27325.952631578948</v>
      </c>
      <c r="K30" s="11">
        <f t="shared" si="4"/>
        <v>-4.5285586462800076</v>
      </c>
      <c r="L30" s="8">
        <v>1732.8973684210528</v>
      </c>
      <c r="M30" s="11">
        <f t="shared" si="5"/>
        <v>2.3379696602441591</v>
      </c>
    </row>
    <row r="31" spans="1:13" x14ac:dyDescent="0.3">
      <c r="A31" s="3" t="s">
        <v>36</v>
      </c>
      <c r="B31" s="7">
        <v>6582.5818181818177</v>
      </c>
      <c r="C31" s="11">
        <f t="shared" si="0"/>
        <v>15.431132165311837</v>
      </c>
      <c r="D31" s="7">
        <v>20953.67954545455</v>
      </c>
      <c r="E31" s="11">
        <f t="shared" si="1"/>
        <v>12.00854141664909</v>
      </c>
      <c r="F31" s="7">
        <v>14585.154545454547</v>
      </c>
      <c r="G31" s="11">
        <f t="shared" si="2"/>
        <v>7.4861263683662829</v>
      </c>
      <c r="H31" s="7">
        <v>10161.393181818181</v>
      </c>
      <c r="I31" s="11">
        <f t="shared" si="3"/>
        <v>7.6065100450902365</v>
      </c>
      <c r="J31" s="7">
        <v>29321.377272727281</v>
      </c>
      <c r="K31" s="11">
        <f t="shared" si="4"/>
        <v>7.3023058630436966</v>
      </c>
      <c r="L31" s="8">
        <v>1997.1386363636361</v>
      </c>
      <c r="M31" s="11">
        <f t="shared" si="5"/>
        <v>15.248523816696052</v>
      </c>
    </row>
    <row r="32" spans="1:13" x14ac:dyDescent="0.3">
      <c r="A32" s="3" t="s">
        <v>37</v>
      </c>
      <c r="B32" s="7">
        <v>7127.619565217391</v>
      </c>
      <c r="C32" s="11">
        <f t="shared" si="0"/>
        <v>8.2799995820806807</v>
      </c>
      <c r="D32" s="7">
        <v>22171.15</v>
      </c>
      <c r="E32" s="11">
        <f t="shared" si="1"/>
        <v>5.8102943299500618</v>
      </c>
      <c r="F32" s="7">
        <v>16532.015217391305</v>
      </c>
      <c r="G32" s="11">
        <f t="shared" si="2"/>
        <v>13.34823478125911</v>
      </c>
      <c r="H32" s="7">
        <v>10293.669565217393</v>
      </c>
      <c r="I32" s="11">
        <f t="shared" si="3"/>
        <v>1.3017544054480124</v>
      </c>
      <c r="J32" s="7">
        <v>30898.141304347821</v>
      </c>
      <c r="K32" s="11">
        <f t="shared" si="4"/>
        <v>5.3775237668905023</v>
      </c>
      <c r="L32" s="8">
        <v>2084.9456521739135</v>
      </c>
      <c r="M32" s="11">
        <f t="shared" si="5"/>
        <v>4.3966409848319392</v>
      </c>
    </row>
    <row r="33" spans="1:13" x14ac:dyDescent="0.3">
      <c r="A33" s="3" t="s">
        <v>38</v>
      </c>
      <c r="B33" s="7">
        <v>7785.3738095238114</v>
      </c>
      <c r="C33" s="11">
        <f t="shared" si="0"/>
        <v>9.2282456756845566</v>
      </c>
      <c r="D33" s="7">
        <v>22352.885714285712</v>
      </c>
      <c r="E33" s="11">
        <f t="shared" si="1"/>
        <v>0.81969457734808915</v>
      </c>
      <c r="F33" s="7">
        <v>18067.207142857143</v>
      </c>
      <c r="G33" s="11">
        <f t="shared" si="2"/>
        <v>9.2861753711117547</v>
      </c>
      <c r="H33" s="7">
        <v>11663.678571428572</v>
      </c>
      <c r="I33" s="11">
        <f t="shared" si="3"/>
        <v>13.309238241340868</v>
      </c>
      <c r="J33" s="7">
        <v>31371.952380952385</v>
      </c>
      <c r="K33" s="11">
        <f t="shared" si="4"/>
        <v>1.533461420664461</v>
      </c>
      <c r="L33" s="8">
        <v>2411.0047619047623</v>
      </c>
      <c r="M33" s="11">
        <f t="shared" si="5"/>
        <v>15.638734246663757</v>
      </c>
    </row>
    <row r="34" spans="1:13" x14ac:dyDescent="0.3">
      <c r="A34" s="3" t="s">
        <v>39</v>
      </c>
      <c r="B34" s="7">
        <v>7914.4409090909094</v>
      </c>
      <c r="C34" s="11">
        <f t="shared" si="0"/>
        <v>1.6578150609699798</v>
      </c>
      <c r="D34" s="7">
        <v>22194.343181818178</v>
      </c>
      <c r="E34" s="11">
        <f t="shared" si="1"/>
        <v>-0.70927098404216293</v>
      </c>
      <c r="F34" s="7">
        <v>19104.24090909091</v>
      </c>
      <c r="G34" s="11">
        <f t="shared" si="2"/>
        <v>5.7398675845909946</v>
      </c>
      <c r="H34" s="7">
        <v>11708.975000000002</v>
      </c>
      <c r="I34" s="11">
        <f t="shared" si="3"/>
        <v>0.38835456836394788</v>
      </c>
      <c r="J34" s="7">
        <v>30357.520454545451</v>
      </c>
      <c r="K34" s="11">
        <f t="shared" si="4"/>
        <v>-3.2335632608662608</v>
      </c>
      <c r="L34" s="8">
        <v>2345.1772727272723</v>
      </c>
      <c r="M34" s="11">
        <f t="shared" si="5"/>
        <v>-2.7302927898609526</v>
      </c>
    </row>
    <row r="35" spans="1:13" x14ac:dyDescent="0.3">
      <c r="A35" s="3" t="s">
        <v>40</v>
      </c>
      <c r="B35" s="7">
        <v>7975.0785714285739</v>
      </c>
      <c r="C35" s="11">
        <f t="shared" ref="C35:C66" si="6">(B35-B34)/B34*100</f>
        <v>0.76616482495956473</v>
      </c>
      <c r="D35" s="7">
        <v>23733.585714285713</v>
      </c>
      <c r="E35" s="11">
        <f t="shared" si="1"/>
        <v>6.9352921141117507</v>
      </c>
      <c r="F35" s="7">
        <v>21374.609523809522</v>
      </c>
      <c r="G35" s="11">
        <f t="shared" si="2"/>
        <v>11.884107960752521</v>
      </c>
      <c r="H35" s="7">
        <v>11871.916666666668</v>
      </c>
      <c r="I35" s="11">
        <f t="shared" si="3"/>
        <v>1.3915963324429821</v>
      </c>
      <c r="J35" s="7">
        <v>29896.428571428572</v>
      </c>
      <c r="K35" s="11">
        <f t="shared" si="4"/>
        <v>-1.5188720165972538</v>
      </c>
      <c r="L35" s="8">
        <v>2319.6976190476184</v>
      </c>
      <c r="M35" s="11">
        <f t="shared" si="5"/>
        <v>-1.0864702628651559</v>
      </c>
    </row>
    <row r="36" spans="1:13" x14ac:dyDescent="0.3">
      <c r="A36" s="3" t="s">
        <v>41</v>
      </c>
      <c r="B36" s="7">
        <v>8366.09</v>
      </c>
      <c r="C36" s="11">
        <f t="shared" si="6"/>
        <v>4.9029163169910239</v>
      </c>
      <c r="D36" s="7">
        <v>28198.484999999997</v>
      </c>
      <c r="E36" s="11">
        <f t="shared" si="1"/>
        <v>18.812577835749334</v>
      </c>
      <c r="F36" s="7">
        <v>21433.0975</v>
      </c>
      <c r="G36" s="11">
        <f t="shared" si="2"/>
        <v>0.27363295748316213</v>
      </c>
      <c r="H36" s="7">
        <v>11739.495000000003</v>
      </c>
      <c r="I36" s="11">
        <f t="shared" si="3"/>
        <v>-1.1154194422411314</v>
      </c>
      <c r="J36" s="7">
        <v>30877.464999999997</v>
      </c>
      <c r="K36" s="11">
        <f t="shared" si="4"/>
        <v>3.281450244893068</v>
      </c>
      <c r="L36" s="8">
        <v>2661.915</v>
      </c>
      <c r="M36" s="11">
        <f t="shared" si="5"/>
        <v>14.752671992347141</v>
      </c>
    </row>
    <row r="37" spans="1:13" x14ac:dyDescent="0.3">
      <c r="A37" s="3" t="s">
        <v>42</v>
      </c>
      <c r="B37" s="7">
        <v>9122.8568181818191</v>
      </c>
      <c r="C37" s="11">
        <f t="shared" si="6"/>
        <v>9.0456451960452124</v>
      </c>
      <c r="D37" s="7">
        <v>30405.259090909094</v>
      </c>
      <c r="E37" s="11">
        <f t="shared" si="1"/>
        <v>7.8258604705504471</v>
      </c>
      <c r="F37" s="7">
        <v>23108.593181818178</v>
      </c>
      <c r="G37" s="11">
        <f t="shared" si="2"/>
        <v>7.8173286983749231</v>
      </c>
      <c r="H37" s="7">
        <v>12634.770454545454</v>
      </c>
      <c r="I37" s="11">
        <f t="shared" si="3"/>
        <v>7.626183703348838</v>
      </c>
      <c r="J37" s="7">
        <v>33507.277272727275</v>
      </c>
      <c r="K37" s="11">
        <f t="shared" si="4"/>
        <v>8.5169306247364496</v>
      </c>
      <c r="L37" s="8">
        <v>3153.4795454545456</v>
      </c>
      <c r="M37" s="11">
        <f t="shared" si="5"/>
        <v>18.466575583914047</v>
      </c>
    </row>
    <row r="38" spans="1:13" x14ac:dyDescent="0.3">
      <c r="A38" s="3" t="s">
        <v>43</v>
      </c>
      <c r="B38" s="7">
        <v>9965.5400000000009</v>
      </c>
      <c r="C38" s="11">
        <f t="shared" si="6"/>
        <v>9.2370536840906841</v>
      </c>
      <c r="D38" s="7">
        <v>31710.947499999998</v>
      </c>
      <c r="E38" s="11">
        <f t="shared" si="1"/>
        <v>4.2942847656288965</v>
      </c>
      <c r="F38" s="7">
        <v>25993.272499999999</v>
      </c>
      <c r="G38" s="11">
        <f t="shared" si="2"/>
        <v>12.483145535884393</v>
      </c>
      <c r="H38" s="7">
        <v>13057.622499999996</v>
      </c>
      <c r="I38" s="11">
        <f t="shared" si="3"/>
        <v>3.3467331042996289</v>
      </c>
      <c r="J38" s="7">
        <v>34378.557499999995</v>
      </c>
      <c r="K38" s="11">
        <f t="shared" si="4"/>
        <v>2.6002716370568413</v>
      </c>
      <c r="L38" s="8">
        <v>3368.6875</v>
      </c>
      <c r="M38" s="11">
        <f t="shared" si="5"/>
        <v>6.8244601381878987</v>
      </c>
    </row>
    <row r="39" spans="1:13" x14ac:dyDescent="0.3">
      <c r="A39" s="3" t="s">
        <v>44</v>
      </c>
      <c r="B39" s="7">
        <v>10703.025000000001</v>
      </c>
      <c r="C39" s="11">
        <f t="shared" si="6"/>
        <v>7.4003516116537646</v>
      </c>
      <c r="D39" s="7">
        <v>35736.11</v>
      </c>
      <c r="E39" s="11">
        <f t="shared" si="1"/>
        <v>12.693289911946032</v>
      </c>
      <c r="F39" s="7">
        <v>25410.8825</v>
      </c>
      <c r="G39" s="11">
        <f t="shared" si="2"/>
        <v>-2.2405412785173526</v>
      </c>
      <c r="H39" s="7">
        <v>12673.48</v>
      </c>
      <c r="I39" s="11">
        <f t="shared" si="3"/>
        <v>-2.9419023256339076</v>
      </c>
      <c r="J39" s="7">
        <v>33694.377500000002</v>
      </c>
      <c r="K39" s="11">
        <f t="shared" si="4"/>
        <v>-1.9901358572127208</v>
      </c>
      <c r="L39" s="8">
        <v>3550.16</v>
      </c>
      <c r="M39" s="11">
        <f t="shared" si="5"/>
        <v>5.3870387205699508</v>
      </c>
    </row>
    <row r="40" spans="1:13" x14ac:dyDescent="0.3">
      <c r="A40" s="3" t="s">
        <v>45</v>
      </c>
      <c r="B40" s="7">
        <v>10260.619047619048</v>
      </c>
      <c r="C40" s="11">
        <f t="shared" si="6"/>
        <v>-4.1334664955090146</v>
      </c>
      <c r="D40" s="7">
        <v>34643.347619047614</v>
      </c>
      <c r="E40" s="11">
        <f t="shared" si="1"/>
        <v>-3.0578660658711501</v>
      </c>
      <c r="F40" s="7">
        <v>25684.699999999997</v>
      </c>
      <c r="G40" s="11">
        <f t="shared" si="2"/>
        <v>1.0775599784855854</v>
      </c>
      <c r="H40" s="7">
        <v>12154.364285714284</v>
      </c>
      <c r="I40" s="11">
        <f t="shared" si="3"/>
        <v>-4.0960786957151116</v>
      </c>
      <c r="J40" s="7">
        <v>33602.459523809528</v>
      </c>
      <c r="K40" s="11">
        <f t="shared" si="4"/>
        <v>-0.27279915229321061</v>
      </c>
      <c r="L40" s="8">
        <v>3864.4928571428572</v>
      </c>
      <c r="M40" s="11">
        <f t="shared" si="5"/>
        <v>8.854047624412912</v>
      </c>
    </row>
    <row r="41" spans="1:13" x14ac:dyDescent="0.3">
      <c r="A41" s="3" t="s">
        <v>46</v>
      </c>
      <c r="B41" s="7">
        <v>9745.5631578947359</v>
      </c>
      <c r="C41" s="11">
        <f t="shared" si="6"/>
        <v>-5.0197350406828454</v>
      </c>
      <c r="D41" s="7">
        <v>32366.831578947364</v>
      </c>
      <c r="E41" s="11">
        <f t="shared" si="1"/>
        <v>-6.5712934706361219</v>
      </c>
      <c r="F41" s="7">
        <v>26200.655263157896</v>
      </c>
      <c r="G41" s="11">
        <f t="shared" si="2"/>
        <v>2.0088039305808483</v>
      </c>
      <c r="H41" s="7">
        <v>13151.505263157893</v>
      </c>
      <c r="I41" s="11">
        <f t="shared" si="3"/>
        <v>8.2039747534604128</v>
      </c>
      <c r="J41" s="7">
        <v>34415.007894736846</v>
      </c>
      <c r="K41" s="11">
        <f t="shared" si="4"/>
        <v>2.4181217162141784</v>
      </c>
      <c r="L41" s="8">
        <v>4450.4026315789461</v>
      </c>
      <c r="M41" s="11">
        <f t="shared" si="5"/>
        <v>15.161362592587906</v>
      </c>
    </row>
    <row r="42" spans="1:13" x14ac:dyDescent="0.3">
      <c r="A42" s="3" t="s">
        <v>47</v>
      </c>
      <c r="B42" s="7">
        <v>10102.502500000001</v>
      </c>
      <c r="C42" s="11">
        <f t="shared" si="6"/>
        <v>3.6625830269861144</v>
      </c>
      <c r="D42" s="7">
        <v>33647.490000000005</v>
      </c>
      <c r="E42" s="11">
        <f t="shared" si="1"/>
        <v>3.9566999875441358</v>
      </c>
      <c r="F42" s="7">
        <v>26187.317500000001</v>
      </c>
      <c r="G42" s="11">
        <f t="shared" si="2"/>
        <v>-5.0906219802258228E-2</v>
      </c>
      <c r="H42" s="7">
        <v>14042.125</v>
      </c>
      <c r="I42" s="11">
        <f t="shared" si="3"/>
        <v>6.7719984824630997</v>
      </c>
      <c r="J42" s="7">
        <v>34480.952499999999</v>
      </c>
      <c r="K42" s="11">
        <f t="shared" si="4"/>
        <v>0.19161583651195044</v>
      </c>
      <c r="L42" s="8">
        <v>5148.5549999999994</v>
      </c>
      <c r="M42" s="11">
        <f t="shared" si="5"/>
        <v>15.687397887713313</v>
      </c>
    </row>
    <row r="43" spans="1:13" x14ac:dyDescent="0.3">
      <c r="A43" s="3" t="s">
        <v>48</v>
      </c>
      <c r="B43" s="7">
        <v>10650.618181818181</v>
      </c>
      <c r="C43" s="11">
        <f t="shared" si="6"/>
        <v>5.4255436394911136</v>
      </c>
      <c r="D43" s="7">
        <v>35047.672727272729</v>
      </c>
      <c r="E43" s="11">
        <f t="shared" si="1"/>
        <v>4.1613289052845364</v>
      </c>
      <c r="F43" s="7">
        <v>28153.218181818178</v>
      </c>
      <c r="G43" s="11">
        <f t="shared" si="2"/>
        <v>7.5070716266306281</v>
      </c>
      <c r="H43" s="7">
        <v>14264.277272727275</v>
      </c>
      <c r="I43" s="11">
        <f t="shared" si="3"/>
        <v>1.5820416975869036</v>
      </c>
      <c r="J43" s="7">
        <v>35836.363636363632</v>
      </c>
      <c r="K43" s="11">
        <f t="shared" si="4"/>
        <v>3.9308981860742769</v>
      </c>
      <c r="L43" s="8">
        <v>5220.5636363636359</v>
      </c>
      <c r="M43" s="11">
        <f t="shared" si="5"/>
        <v>1.398618376683098</v>
      </c>
    </row>
    <row r="44" spans="1:13" x14ac:dyDescent="0.3">
      <c r="A44" s="3" t="s">
        <v>49</v>
      </c>
      <c r="B44" s="7">
        <v>10360.695238095239</v>
      </c>
      <c r="C44" s="11">
        <f t="shared" si="6"/>
        <v>-2.7221231554227892</v>
      </c>
      <c r="D44" s="7">
        <v>35112.60238095239</v>
      </c>
      <c r="E44" s="11">
        <f t="shared" si="1"/>
        <v>0.18526095636910941</v>
      </c>
      <c r="F44" s="7">
        <v>29334.11428571428</v>
      </c>
      <c r="G44" s="11">
        <f t="shared" si="2"/>
        <v>4.1945332724297391</v>
      </c>
      <c r="H44" s="7">
        <v>14524.007142857141</v>
      </c>
      <c r="I44" s="11">
        <f t="shared" si="3"/>
        <v>1.8208414290043213</v>
      </c>
      <c r="J44" s="7">
        <v>36246.235714285714</v>
      </c>
      <c r="K44" s="11">
        <f t="shared" si="4"/>
        <v>1.1437323331159064</v>
      </c>
      <c r="L44" s="8">
        <v>5342.692857142858</v>
      </c>
      <c r="M44" s="11">
        <f t="shared" si="5"/>
        <v>2.3393876463555721</v>
      </c>
    </row>
    <row r="45" spans="1:13" x14ac:dyDescent="0.3">
      <c r="A45" s="3" t="s">
        <v>50</v>
      </c>
      <c r="B45" s="7">
        <v>10059.233333333334</v>
      </c>
      <c r="C45" s="11">
        <f t="shared" si="6"/>
        <v>-2.9096686837526122</v>
      </c>
      <c r="D45" s="7">
        <v>35740.761904761908</v>
      </c>
      <c r="E45" s="11">
        <f t="shared" si="1"/>
        <v>1.7889859515234248</v>
      </c>
      <c r="F45" s="7">
        <v>32708.290476190468</v>
      </c>
      <c r="G45" s="11">
        <f t="shared" si="2"/>
        <v>11.502567139446281</v>
      </c>
      <c r="H45" s="7">
        <v>14289.190476190479</v>
      </c>
      <c r="I45" s="11">
        <f t="shared" si="3"/>
        <v>-1.616748493422107</v>
      </c>
      <c r="J45" s="7">
        <v>37524.107142857138</v>
      </c>
      <c r="K45" s="11">
        <f t="shared" si="4"/>
        <v>3.5255286608087038</v>
      </c>
      <c r="L45" s="8">
        <v>5654.3023809523811</v>
      </c>
      <c r="M45" s="11">
        <f t="shared" si="5"/>
        <v>5.8324431544463575</v>
      </c>
    </row>
    <row r="46" spans="1:13" x14ac:dyDescent="0.3">
      <c r="A46" s="3" t="s">
        <v>51</v>
      </c>
      <c r="B46" s="7">
        <v>10295.902380952382</v>
      </c>
      <c r="C46" s="11">
        <f t="shared" si="6"/>
        <v>2.3527543280539813</v>
      </c>
      <c r="D46" s="7">
        <v>37157.595238095244</v>
      </c>
      <c r="E46" s="11">
        <f t="shared" si="1"/>
        <v>3.9641945437782189</v>
      </c>
      <c r="F46" s="7">
        <v>35479.888095238093</v>
      </c>
      <c r="G46" s="11">
        <f t="shared" si="2"/>
        <v>8.4736853522356057</v>
      </c>
      <c r="H46" s="7">
        <v>14450.185714285715</v>
      </c>
      <c r="I46" s="11">
        <f t="shared" si="3"/>
        <v>1.1266925048238139</v>
      </c>
      <c r="J46" s="7">
        <v>40670.447619047613</v>
      </c>
      <c r="K46" s="11">
        <f t="shared" si="4"/>
        <v>8.3848510084786732</v>
      </c>
      <c r="L46" s="8">
        <v>5649.5714285714294</v>
      </c>
      <c r="M46" s="11">
        <f t="shared" si="5"/>
        <v>-8.3669957179666993E-2</v>
      </c>
    </row>
    <row r="47" spans="1:13" x14ac:dyDescent="0.3">
      <c r="A47" s="3" t="s">
        <v>52</v>
      </c>
      <c r="B47" s="7">
        <v>11284.55</v>
      </c>
      <c r="C47" s="11">
        <f t="shared" si="6"/>
        <v>9.602340644532859</v>
      </c>
      <c r="D47" s="7">
        <v>39070.772500000006</v>
      </c>
      <c r="E47" s="11">
        <f t="shared" si="1"/>
        <v>5.1488188340652021</v>
      </c>
      <c r="F47" s="7">
        <v>35513.727499999994</v>
      </c>
      <c r="G47" s="11">
        <f t="shared" si="2"/>
        <v>9.5376300711732226E-2</v>
      </c>
      <c r="H47" s="7">
        <v>14509.4125</v>
      </c>
      <c r="I47" s="11">
        <f t="shared" si="3"/>
        <v>0.40986868186567649</v>
      </c>
      <c r="J47" s="7">
        <v>39886.71</v>
      </c>
      <c r="K47" s="11">
        <f t="shared" si="4"/>
        <v>-1.9270444879012285</v>
      </c>
      <c r="L47" s="8">
        <v>5799.4950000000008</v>
      </c>
      <c r="M47" s="11">
        <f t="shared" si="5"/>
        <v>2.6537158317950791</v>
      </c>
    </row>
    <row r="48" spans="1:13" x14ac:dyDescent="0.3">
      <c r="A48" s="3" t="s">
        <v>53</v>
      </c>
      <c r="B48" s="7">
        <v>11474.23</v>
      </c>
      <c r="C48" s="11">
        <f t="shared" si="6"/>
        <v>1.6808822682340039</v>
      </c>
      <c r="D48" s="7">
        <v>38186.729999999996</v>
      </c>
      <c r="E48" s="11">
        <f t="shared" si="1"/>
        <v>-2.2626696208783952</v>
      </c>
      <c r="F48" s="7">
        <v>35588.122499999998</v>
      </c>
      <c r="G48" s="11">
        <f t="shared" si="2"/>
        <v>0.20948237551241022</v>
      </c>
      <c r="H48" s="7">
        <v>13862.905000000002</v>
      </c>
      <c r="I48" s="11">
        <f t="shared" si="3"/>
        <v>-4.4557799979840524</v>
      </c>
      <c r="J48" s="7">
        <v>38528.662499999991</v>
      </c>
      <c r="K48" s="11">
        <f t="shared" si="4"/>
        <v>-3.4047618868540623</v>
      </c>
      <c r="L48" s="8">
        <v>5583.1949999999997</v>
      </c>
      <c r="M48" s="11">
        <f t="shared" si="5"/>
        <v>-3.7296350802958025</v>
      </c>
    </row>
    <row r="49" spans="1:13" x14ac:dyDescent="0.3">
      <c r="A49" s="3" t="s">
        <v>54</v>
      </c>
      <c r="B49" s="7">
        <v>10801.13913043478</v>
      </c>
      <c r="C49" s="11">
        <f t="shared" si="6"/>
        <v>-5.866109268902747</v>
      </c>
      <c r="D49" s="7">
        <v>35897.010869565216</v>
      </c>
      <c r="E49" s="11">
        <f t="shared" si="1"/>
        <v>-5.996112079863293</v>
      </c>
      <c r="F49" s="7">
        <v>36640.615217391307</v>
      </c>
      <c r="G49" s="11">
        <f t="shared" si="2"/>
        <v>2.9574269263328219</v>
      </c>
      <c r="H49" s="7">
        <v>13634.734782608697</v>
      </c>
      <c r="I49" s="11">
        <f t="shared" si="3"/>
        <v>-1.6459047897342249</v>
      </c>
      <c r="J49" s="7">
        <v>37218.991304347823</v>
      </c>
      <c r="K49" s="11">
        <f t="shared" si="4"/>
        <v>-3.3992127176804248</v>
      </c>
      <c r="L49" s="8">
        <v>5499.4891304347821</v>
      </c>
      <c r="M49" s="11">
        <f t="shared" si="5"/>
        <v>-1.4992467496696364</v>
      </c>
    </row>
    <row r="50" spans="1:13" x14ac:dyDescent="0.3">
      <c r="A50" s="3" t="s">
        <v>55</v>
      </c>
      <c r="B50" s="7">
        <v>11496.18</v>
      </c>
      <c r="C50" s="11">
        <f t="shared" si="6"/>
        <v>6.4348848873428306</v>
      </c>
      <c r="D50" s="7">
        <v>37836.995000000003</v>
      </c>
      <c r="E50" s="11">
        <f t="shared" si="1"/>
        <v>5.4043054935239052</v>
      </c>
      <c r="F50" s="7">
        <v>37234.222500000003</v>
      </c>
      <c r="G50" s="11">
        <f t="shared" si="2"/>
        <v>1.6200800098109254</v>
      </c>
      <c r="H50" s="7">
        <v>13764.142499999998</v>
      </c>
      <c r="I50" s="11">
        <f t="shared" si="3"/>
        <v>0.94910329723730658</v>
      </c>
      <c r="J50" s="7">
        <v>37278.6875</v>
      </c>
      <c r="K50" s="11">
        <f t="shared" si="4"/>
        <v>0.16039176119532211</v>
      </c>
      <c r="L50" s="8">
        <v>5665.7300000000014</v>
      </c>
      <c r="M50" s="11">
        <f t="shared" si="5"/>
        <v>3.0228420426403599</v>
      </c>
    </row>
    <row r="51" spans="1:13" x14ac:dyDescent="0.3">
      <c r="A51" s="3" t="s">
        <v>56</v>
      </c>
      <c r="B51" s="7">
        <v>11383.404999999999</v>
      </c>
      <c r="C51" s="11">
        <f t="shared" si="6"/>
        <v>-0.98097802922363297</v>
      </c>
      <c r="D51" s="7">
        <v>37813.719999999987</v>
      </c>
      <c r="E51" s="11">
        <f t="shared" si="1"/>
        <v>-6.1513870221501489E-2</v>
      </c>
      <c r="F51" s="7">
        <v>34522.289999999994</v>
      </c>
      <c r="G51" s="11">
        <f t="shared" si="2"/>
        <v>-7.2834406573146788</v>
      </c>
      <c r="H51" s="7">
        <v>13377.732500000002</v>
      </c>
      <c r="I51" s="11">
        <f t="shared" si="3"/>
        <v>-2.8073670408454161</v>
      </c>
      <c r="J51" s="7">
        <v>36448.315000000002</v>
      </c>
      <c r="K51" s="11">
        <f t="shared" si="4"/>
        <v>-2.2274724666741492</v>
      </c>
      <c r="L51" s="8">
        <v>5775.2224999999999</v>
      </c>
      <c r="M51" s="11">
        <f t="shared" si="5"/>
        <v>1.932540025733638</v>
      </c>
    </row>
    <row r="52" spans="1:13" x14ac:dyDescent="0.3">
      <c r="A52" s="3" t="s">
        <v>57</v>
      </c>
      <c r="B52" s="7">
        <v>10230.721428571431</v>
      </c>
      <c r="C52" s="11">
        <f t="shared" si="6"/>
        <v>-10.125999834219797</v>
      </c>
      <c r="D52" s="7">
        <v>35229.55000000001</v>
      </c>
      <c r="E52" s="11">
        <f t="shared" si="1"/>
        <v>-6.833948101376901</v>
      </c>
      <c r="F52" s="7">
        <v>35479.030952380956</v>
      </c>
      <c r="G52" s="11">
        <f t="shared" si="2"/>
        <v>2.7713716337501428</v>
      </c>
      <c r="H52" s="7">
        <v>13405.352380952379</v>
      </c>
      <c r="I52" s="11">
        <f t="shared" si="3"/>
        <v>0.20646160290899496</v>
      </c>
      <c r="J52" s="7">
        <v>35485.454761904752</v>
      </c>
      <c r="K52" s="11">
        <f t="shared" si="4"/>
        <v>-2.6417139944473442</v>
      </c>
      <c r="L52" s="8">
        <v>6248.4809523809527</v>
      </c>
      <c r="M52" s="11">
        <f t="shared" si="5"/>
        <v>8.1946358323155994</v>
      </c>
    </row>
    <row r="53" spans="1:13" x14ac:dyDescent="0.3">
      <c r="A53" s="3" t="s">
        <v>58</v>
      </c>
      <c r="B53" s="7">
        <v>10910.723684210527</v>
      </c>
      <c r="C53" s="11">
        <f t="shared" si="6"/>
        <v>6.6466696448214027</v>
      </c>
      <c r="D53" s="7">
        <v>36994.268421052635</v>
      </c>
      <c r="E53" s="11">
        <f t="shared" si="1"/>
        <v>5.0091994392566024</v>
      </c>
      <c r="F53" s="7">
        <v>33688.589473684224</v>
      </c>
      <c r="G53" s="11">
        <f t="shared" si="2"/>
        <v>-5.0464779635605508</v>
      </c>
      <c r="H53" s="7">
        <v>13769.107894736842</v>
      </c>
      <c r="I53" s="11">
        <f t="shared" si="3"/>
        <v>2.7135095255035733</v>
      </c>
      <c r="J53" s="7">
        <v>37788.928947368426</v>
      </c>
      <c r="K53" s="11">
        <f t="shared" si="4"/>
        <v>6.4913193332851362</v>
      </c>
      <c r="L53" s="8">
        <v>6537.7684210526313</v>
      </c>
      <c r="M53" s="11">
        <f t="shared" si="5"/>
        <v>4.6297247423223258</v>
      </c>
    </row>
    <row r="54" spans="1:13" x14ac:dyDescent="0.3">
      <c r="A54" s="3" t="s">
        <v>59</v>
      </c>
      <c r="B54" s="7">
        <v>10829.72380952381</v>
      </c>
      <c r="C54" s="11">
        <f t="shared" si="6"/>
        <v>-0.74238773734079533</v>
      </c>
      <c r="D54" s="7">
        <v>34567.242857142861</v>
      </c>
      <c r="E54" s="11">
        <f t="shared" si="1"/>
        <v>-6.5605448289622252</v>
      </c>
      <c r="F54" s="7">
        <v>29652.502380952377</v>
      </c>
      <c r="G54" s="11">
        <f t="shared" si="2"/>
        <v>-11.980576081657048</v>
      </c>
      <c r="H54" s="7">
        <v>12899.173809523811</v>
      </c>
      <c r="I54" s="11">
        <f t="shared" si="3"/>
        <v>-6.3180134244249677</v>
      </c>
      <c r="J54" s="7">
        <v>37639.433333333349</v>
      </c>
      <c r="K54" s="11">
        <f t="shared" si="4"/>
        <v>-0.39560690974674356</v>
      </c>
      <c r="L54" s="8">
        <v>5582.7214285714281</v>
      </c>
      <c r="M54" s="11">
        <f t="shared" si="5"/>
        <v>-14.60814961578944</v>
      </c>
    </row>
    <row r="55" spans="1:13" x14ac:dyDescent="0.3">
      <c r="A55" s="3" t="s">
        <v>60</v>
      </c>
      <c r="B55" s="7">
        <v>11322.038636363635</v>
      </c>
      <c r="C55" s="11">
        <f t="shared" si="6"/>
        <v>4.545959209106301</v>
      </c>
      <c r="D55" s="7">
        <v>33926.384090909087</v>
      </c>
      <c r="E55" s="11">
        <f t="shared" si="1"/>
        <v>-1.8539481696074847</v>
      </c>
      <c r="F55" s="7">
        <v>28406.134090909094</v>
      </c>
      <c r="G55" s="11">
        <f t="shared" si="2"/>
        <v>-4.2032482588852336</v>
      </c>
      <c r="H55" s="7">
        <v>12313.540909090911</v>
      </c>
      <c r="I55" s="11">
        <f t="shared" si="3"/>
        <v>-4.540080698815852</v>
      </c>
      <c r="J55" s="7">
        <v>37496.906818181822</v>
      </c>
      <c r="K55" s="11">
        <f t="shared" si="4"/>
        <v>-0.37866275480110867</v>
      </c>
      <c r="L55" s="8">
        <v>4943.8136363636359</v>
      </c>
      <c r="M55" s="11">
        <f t="shared" si="5"/>
        <v>-11.444378881918945</v>
      </c>
    </row>
    <row r="56" spans="1:13" x14ac:dyDescent="0.3">
      <c r="A56" s="3" t="s">
        <v>61</v>
      </c>
      <c r="B56" s="7">
        <v>12228.990476190476</v>
      </c>
      <c r="C56" s="11">
        <f t="shared" si="6"/>
        <v>8.0104994246701491</v>
      </c>
      <c r="D56" s="7">
        <v>35486.080952380958</v>
      </c>
      <c r="E56" s="11">
        <f t="shared" si="1"/>
        <v>4.5972976586379213</v>
      </c>
      <c r="F56" s="7">
        <v>27769.609523809522</v>
      </c>
      <c r="G56" s="11">
        <f t="shared" si="2"/>
        <v>-2.2407996986231256</v>
      </c>
      <c r="H56" s="7">
        <v>12619.830952380949</v>
      </c>
      <c r="I56" s="11">
        <f t="shared" si="3"/>
        <v>2.4874245803975783</v>
      </c>
      <c r="J56" s="7">
        <v>41246.288095238095</v>
      </c>
      <c r="K56" s="11">
        <f t="shared" si="4"/>
        <v>9.9991748525727484</v>
      </c>
      <c r="L56" s="8">
        <v>4955.9595238095226</v>
      </c>
      <c r="M56" s="11">
        <f t="shared" si="5"/>
        <v>0.24567850528484916</v>
      </c>
    </row>
    <row r="57" spans="1:13" x14ac:dyDescent="0.3">
      <c r="A57" s="3" t="s">
        <v>62</v>
      </c>
      <c r="B57" s="7">
        <v>12967.094999999999</v>
      </c>
      <c r="C57" s="11">
        <f t="shared" si="6"/>
        <v>6.0356946490930152</v>
      </c>
      <c r="D57" s="7">
        <v>38658.435000000005</v>
      </c>
      <c r="E57" s="11">
        <f t="shared" si="1"/>
        <v>8.9397137200809862</v>
      </c>
      <c r="F57" s="7">
        <v>29405.555000000004</v>
      </c>
      <c r="G57" s="11">
        <f t="shared" si="2"/>
        <v>5.8911360449192856</v>
      </c>
      <c r="H57" s="7">
        <v>12874.322500000002</v>
      </c>
      <c r="I57" s="11">
        <f t="shared" si="3"/>
        <v>2.0166002902839075</v>
      </c>
      <c r="J57" s="7">
        <v>42916.805</v>
      </c>
      <c r="K57" s="11">
        <f t="shared" si="4"/>
        <v>4.0501024017110714</v>
      </c>
      <c r="L57" s="8">
        <v>5770.2225000000008</v>
      </c>
      <c r="M57" s="11">
        <f t="shared" si="5"/>
        <v>16.429976319995738</v>
      </c>
    </row>
    <row r="58" spans="1:13" x14ac:dyDescent="0.3">
      <c r="A58" s="3" t="s">
        <v>63</v>
      </c>
      <c r="B58" s="7">
        <v>13057.977272727272</v>
      </c>
      <c r="C58" s="11">
        <f t="shared" si="6"/>
        <v>0.70086841136949118</v>
      </c>
      <c r="D58" s="7">
        <v>39903.704545454544</v>
      </c>
      <c r="E58" s="11">
        <f t="shared" si="1"/>
        <v>3.2212104433470703</v>
      </c>
      <c r="F58" s="7">
        <v>27514.631818181824</v>
      </c>
      <c r="G58" s="11">
        <f t="shared" si="2"/>
        <v>-6.4304964889055132</v>
      </c>
      <c r="H58" s="7">
        <v>12716.145454545453</v>
      </c>
      <c r="I58" s="11">
        <f t="shared" si="3"/>
        <v>-1.2286242282228788</v>
      </c>
      <c r="J58" s="7">
        <v>44010.55909090909</v>
      </c>
      <c r="K58" s="11">
        <f t="shared" si="4"/>
        <v>2.5485450068081472</v>
      </c>
      <c r="L58" s="8">
        <v>5994.3909090909083</v>
      </c>
      <c r="M58" s="11">
        <f t="shared" si="5"/>
        <v>3.8849179401818126</v>
      </c>
    </row>
    <row r="59" spans="1:13" x14ac:dyDescent="0.3">
      <c r="A59" s="3" t="s">
        <v>64</v>
      </c>
      <c r="B59" s="7">
        <v>12749.486842105263</v>
      </c>
      <c r="C59" s="11">
        <f t="shared" si="6"/>
        <v>-2.3624672043679995</v>
      </c>
      <c r="D59" s="7">
        <v>39893.473684210527</v>
      </c>
      <c r="E59" s="11">
        <f t="shared" si="1"/>
        <v>-2.5638875789999394E-2</v>
      </c>
      <c r="F59" s="7">
        <v>28030.497368421049</v>
      </c>
      <c r="G59" s="11">
        <f t="shared" si="2"/>
        <v>1.8748771695296245</v>
      </c>
      <c r="H59" s="7">
        <v>13126.768421052629</v>
      </c>
      <c r="I59" s="11">
        <f t="shared" si="3"/>
        <v>3.2291465049292714</v>
      </c>
      <c r="J59" s="7">
        <v>43708.039473684214</v>
      </c>
      <c r="K59" s="11">
        <f t="shared" si="4"/>
        <v>-0.68737962769340322</v>
      </c>
      <c r="L59" s="8">
        <v>5813.0421052631573</v>
      </c>
      <c r="M59" s="11">
        <f t="shared" si="5"/>
        <v>-3.0253082686469948</v>
      </c>
    </row>
    <row r="60" spans="1:13" x14ac:dyDescent="0.3">
      <c r="A60" s="3" t="s">
        <v>65</v>
      </c>
      <c r="B60" s="7">
        <v>13071.785714285714</v>
      </c>
      <c r="C60" s="11">
        <f t="shared" si="6"/>
        <v>2.5279360351669706</v>
      </c>
      <c r="D60" s="7">
        <v>42237.185714285712</v>
      </c>
      <c r="E60" s="11">
        <f t="shared" si="1"/>
        <v>5.8749259305609298</v>
      </c>
      <c r="F60" s="7">
        <v>29523.94761904762</v>
      </c>
      <c r="G60" s="11">
        <f t="shared" si="2"/>
        <v>5.3279477384838732</v>
      </c>
      <c r="H60" s="7">
        <v>13179.440476190477</v>
      </c>
      <c r="I60" s="11">
        <f t="shared" si="3"/>
        <v>0.40125683220991731</v>
      </c>
      <c r="J60" s="7">
        <v>44322.642857142862</v>
      </c>
      <c r="K60" s="11">
        <f t="shared" si="4"/>
        <v>1.4061563750272759</v>
      </c>
      <c r="L60" s="8">
        <v>6386.7547619047618</v>
      </c>
      <c r="M60" s="11">
        <f t="shared" si="5"/>
        <v>9.8694048013545661</v>
      </c>
    </row>
    <row r="61" spans="1:13" x14ac:dyDescent="0.3">
      <c r="A61" s="3" t="s">
        <v>66</v>
      </c>
      <c r="B61" s="7">
        <v>12795.431818181816</v>
      </c>
      <c r="C61" s="11">
        <f t="shared" si="6"/>
        <v>-2.1141250487443326</v>
      </c>
      <c r="D61" s="7">
        <v>43164.145454545454</v>
      </c>
      <c r="E61" s="11">
        <f t="shared" si="1"/>
        <v>2.1946531819856099</v>
      </c>
      <c r="F61" s="7">
        <v>29307.138636363637</v>
      </c>
      <c r="G61" s="11">
        <f t="shared" si="2"/>
        <v>-0.73434957100420484</v>
      </c>
      <c r="H61" s="7">
        <v>12899.077272727272</v>
      </c>
      <c r="I61" s="11">
        <f t="shared" si="3"/>
        <v>-2.1272769809135608</v>
      </c>
      <c r="J61" s="7">
        <v>45305.625</v>
      </c>
      <c r="K61" s="11">
        <f t="shared" si="4"/>
        <v>2.2177877479585448</v>
      </c>
      <c r="L61" s="8">
        <v>6661.6568181818202</v>
      </c>
      <c r="M61" s="11">
        <f t="shared" si="5"/>
        <v>4.3042525746686513</v>
      </c>
    </row>
    <row r="62" spans="1:13" x14ac:dyDescent="0.3">
      <c r="A62" s="3" t="s">
        <v>67</v>
      </c>
      <c r="B62" s="7">
        <v>12813.542857142855</v>
      </c>
      <c r="C62" s="11">
        <f t="shared" si="6"/>
        <v>0.14154300705430989</v>
      </c>
      <c r="D62" s="7">
        <v>42188.32142857142</v>
      </c>
      <c r="E62" s="11">
        <f t="shared" si="1"/>
        <v>-2.2607282402975817</v>
      </c>
      <c r="F62" s="7">
        <v>29235.89285714287</v>
      </c>
      <c r="G62" s="11">
        <f t="shared" si="2"/>
        <v>-0.24310042718523095</v>
      </c>
      <c r="H62" s="7">
        <v>12708.535714285714</v>
      </c>
      <c r="I62" s="11">
        <f t="shared" si="3"/>
        <v>-1.4771720055078958</v>
      </c>
      <c r="J62" s="7">
        <v>44272.680952380957</v>
      </c>
      <c r="K62" s="11">
        <f t="shared" si="4"/>
        <v>-2.2799465797437799</v>
      </c>
      <c r="L62" s="8">
        <v>6736.2333333333318</v>
      </c>
      <c r="M62" s="11">
        <f t="shared" si="5"/>
        <v>1.1194889978115967</v>
      </c>
    </row>
    <row r="63" spans="1:13" x14ac:dyDescent="0.3">
      <c r="A63" s="3" t="s">
        <v>68</v>
      </c>
      <c r="B63" s="7">
        <v>13124.059999999998</v>
      </c>
      <c r="C63" s="11">
        <f t="shared" si="6"/>
        <v>2.4233511864678903</v>
      </c>
      <c r="D63" s="7">
        <v>40974.097499999996</v>
      </c>
      <c r="E63" s="11">
        <f t="shared" si="1"/>
        <v>-2.8781043839992857</v>
      </c>
      <c r="F63" s="7">
        <v>30615.805</v>
      </c>
      <c r="G63" s="11">
        <f t="shared" si="2"/>
        <v>4.7199247500320229</v>
      </c>
      <c r="H63" s="7">
        <v>12237.9625</v>
      </c>
      <c r="I63" s="11">
        <f t="shared" si="3"/>
        <v>-3.7028122268778851</v>
      </c>
      <c r="J63" s="7">
        <v>45598.477500000001</v>
      </c>
      <c r="K63" s="11">
        <f t="shared" si="4"/>
        <v>2.9946154583343416</v>
      </c>
      <c r="L63" s="8">
        <v>5740.4874999999993</v>
      </c>
      <c r="M63" s="11">
        <f t="shared" si="5"/>
        <v>-14.781937977207827</v>
      </c>
    </row>
    <row r="64" spans="1:13" x14ac:dyDescent="0.3">
      <c r="A64" s="3" t="s">
        <v>69</v>
      </c>
      <c r="B64" s="7">
        <v>12408.266666666666</v>
      </c>
      <c r="C64" s="11">
        <f t="shared" si="6"/>
        <v>-5.4540541062242278</v>
      </c>
      <c r="D64" s="7">
        <v>40073.964285714283</v>
      </c>
      <c r="E64" s="11">
        <f t="shared" si="1"/>
        <v>-2.196834754653751</v>
      </c>
      <c r="F64" s="7">
        <v>28877.478571428575</v>
      </c>
      <c r="G64" s="11">
        <f t="shared" si="2"/>
        <v>-5.677872682333275</v>
      </c>
      <c r="H64" s="7">
        <v>11809.933333333334</v>
      </c>
      <c r="I64" s="11">
        <f t="shared" si="3"/>
        <v>-3.4975525269558991</v>
      </c>
      <c r="J64" s="7">
        <v>45155.145238095232</v>
      </c>
      <c r="K64" s="11">
        <f t="shared" si="4"/>
        <v>-0.97225233431262814</v>
      </c>
      <c r="L64" s="8">
        <v>5527.5666666666675</v>
      </c>
      <c r="M64" s="11">
        <f t="shared" si="5"/>
        <v>-3.7091071678726202</v>
      </c>
    </row>
    <row r="65" spans="1:13" x14ac:dyDescent="0.3">
      <c r="A65" s="3" t="s">
        <v>70</v>
      </c>
      <c r="B65" s="7">
        <v>12844.652941176473</v>
      </c>
      <c r="C65" s="11">
        <f t="shared" si="6"/>
        <v>3.5168995495729201</v>
      </c>
      <c r="D65" s="7">
        <v>42011.352941176476</v>
      </c>
      <c r="E65" s="11">
        <f t="shared" si="1"/>
        <v>4.8345320708708641</v>
      </c>
      <c r="F65" s="7">
        <v>27756.76176470588</v>
      </c>
      <c r="G65" s="11">
        <f t="shared" si="2"/>
        <v>-3.8809371945358646</v>
      </c>
      <c r="H65" s="7">
        <v>12478.96176470588</v>
      </c>
      <c r="I65" s="11">
        <f t="shared" si="3"/>
        <v>5.6649636580439005</v>
      </c>
      <c r="J65" s="7">
        <v>46578.914705882351</v>
      </c>
      <c r="K65" s="11">
        <f t="shared" si="4"/>
        <v>3.1530614291678827</v>
      </c>
      <c r="L65" s="8">
        <v>5679.5441176470595</v>
      </c>
      <c r="M65" s="11">
        <f t="shared" si="5"/>
        <v>2.7494458257170171</v>
      </c>
    </row>
    <row r="66" spans="1:13" x14ac:dyDescent="0.3">
      <c r="A66" s="3" t="s">
        <v>71</v>
      </c>
      <c r="B66" s="7">
        <v>13814.71590909091</v>
      </c>
      <c r="C66" s="11">
        <f t="shared" si="6"/>
        <v>7.5522707569986416</v>
      </c>
      <c r="D66" s="7">
        <v>43708.313636363629</v>
      </c>
      <c r="E66" s="11">
        <f t="shared" si="1"/>
        <v>4.039290754485358</v>
      </c>
      <c r="F66" s="7">
        <v>28412.504545454543</v>
      </c>
      <c r="G66" s="11">
        <f t="shared" si="2"/>
        <v>2.362461393398108</v>
      </c>
      <c r="H66" s="7">
        <v>12573.520454545453</v>
      </c>
      <c r="I66" s="11">
        <f t="shared" si="3"/>
        <v>0.75774484786876761</v>
      </c>
      <c r="J66" s="7">
        <v>49170.856818181812</v>
      </c>
      <c r="K66" s="11">
        <f t="shared" si="4"/>
        <v>5.5646253861130219</v>
      </c>
      <c r="L66" s="8">
        <v>5812.045454545455</v>
      </c>
      <c r="M66" s="11">
        <f t="shared" si="5"/>
        <v>2.3329572612473797</v>
      </c>
    </row>
    <row r="67" spans="1:13" x14ac:dyDescent="0.3">
      <c r="A67" s="3" t="s">
        <v>72</v>
      </c>
      <c r="B67" s="7">
        <v>14690.583333333334</v>
      </c>
      <c r="C67" s="11">
        <f t="shared" ref="C67:C85" si="7">(B67-B66)/B66*100</f>
        <v>6.3401044944112872</v>
      </c>
      <c r="D67" s="7">
        <v>43956.785714285717</v>
      </c>
      <c r="E67" s="11">
        <f t="shared" si="1"/>
        <v>0.56847784151381386</v>
      </c>
      <c r="F67" s="7">
        <v>28867.376190476192</v>
      </c>
      <c r="G67" s="11">
        <f t="shared" si="2"/>
        <v>1.6009558196249181</v>
      </c>
      <c r="H67" s="7">
        <v>13194.857142857143</v>
      </c>
      <c r="I67" s="11">
        <f t="shared" si="3"/>
        <v>4.9416286437667596</v>
      </c>
      <c r="J67" s="7">
        <v>51556.097619047621</v>
      </c>
      <c r="K67" s="11">
        <f t="shared" si="4"/>
        <v>4.8509238097795837</v>
      </c>
      <c r="L67" s="8">
        <v>6109.4547619047617</v>
      </c>
      <c r="M67" s="11">
        <f t="shared" si="5"/>
        <v>5.1171194321391678</v>
      </c>
    </row>
    <row r="68" spans="1:13" x14ac:dyDescent="0.3">
      <c r="A68" s="3" t="s">
        <v>73</v>
      </c>
      <c r="B68" s="7">
        <v>15513.959523809524</v>
      </c>
      <c r="C68" s="11">
        <f t="shared" si="7"/>
        <v>5.6047889440028396</v>
      </c>
      <c r="D68" s="7">
        <v>45382.23095238096</v>
      </c>
      <c r="E68" s="11">
        <f t="shared" ref="E68:E85" si="8">(D68-D67)/D67*100</f>
        <v>3.24283319385653</v>
      </c>
      <c r="F68" s="7">
        <v>29996.445238095235</v>
      </c>
      <c r="G68" s="11">
        <f t="shared" ref="G68:G85" si="9">(F68-F67)/F67*100</f>
        <v>3.9112285098897934</v>
      </c>
      <c r="H68" s="7">
        <v>14204.188095238096</v>
      </c>
      <c r="I68" s="11">
        <f t="shared" ref="I68:I85" si="10">(H68-H67)/H67*100</f>
        <v>7.6494269051434225</v>
      </c>
      <c r="J68" s="7">
        <v>53135.464285714275</v>
      </c>
      <c r="K68" s="11">
        <f t="shared" ref="K68:K85" si="11">(J68-J67)/J67*100</f>
        <v>3.0633945151099842</v>
      </c>
      <c r="L68" s="8">
        <v>6444.2023809523826</v>
      </c>
      <c r="M68" s="11">
        <f t="shared" ref="M68:M85" si="12">(L68-L67)/L67*100</f>
        <v>5.4791733811489207</v>
      </c>
    </row>
    <row r="69" spans="1:13" x14ac:dyDescent="0.3">
      <c r="A69" s="3" t="s">
        <v>74</v>
      </c>
      <c r="B69" s="7">
        <v>15457.81363636364</v>
      </c>
      <c r="C69" s="11">
        <f t="shared" si="7"/>
        <v>-0.36190559450484577</v>
      </c>
      <c r="D69" s="7">
        <v>44436.274999999987</v>
      </c>
      <c r="E69" s="11">
        <f t="shared" si="8"/>
        <v>-2.0844192375063129</v>
      </c>
      <c r="F69" s="7">
        <v>30798.829545454544</v>
      </c>
      <c r="G69" s="11">
        <f t="shared" si="9"/>
        <v>2.6749313159956949</v>
      </c>
      <c r="H69" s="7">
        <v>15369.275000000001</v>
      </c>
      <c r="I69" s="11">
        <f t="shared" si="10"/>
        <v>8.2024181667412357</v>
      </c>
      <c r="J69" s="7">
        <v>51777.143181818181</v>
      </c>
      <c r="K69" s="11">
        <f t="shared" si="11"/>
        <v>-2.5563361911966687</v>
      </c>
      <c r="L69" s="8">
        <v>6606.254545454547</v>
      </c>
      <c r="M69" s="11">
        <f t="shared" si="12"/>
        <v>2.5146970086034908</v>
      </c>
    </row>
    <row r="70" spans="1:13" x14ac:dyDescent="0.3">
      <c r="A70" s="3" t="s">
        <v>75</v>
      </c>
      <c r="B70" s="7">
        <v>16170.459999999997</v>
      </c>
      <c r="C70" s="11">
        <f t="shared" si="7"/>
        <v>4.6102662407566894</v>
      </c>
      <c r="D70" s="7">
        <v>45033.93499999999</v>
      </c>
      <c r="E70" s="11">
        <f t="shared" si="8"/>
        <v>1.3449822245451575</v>
      </c>
      <c r="F70" s="7">
        <v>32570.547500000004</v>
      </c>
      <c r="G70" s="11">
        <f t="shared" si="9"/>
        <v>5.7525496283248847</v>
      </c>
      <c r="H70" s="7">
        <v>15366.007500000002</v>
      </c>
      <c r="I70" s="11">
        <f t="shared" si="10"/>
        <v>-2.1259948826473123E-2</v>
      </c>
      <c r="J70" s="7">
        <v>51822.217500000006</v>
      </c>
      <c r="K70" s="11">
        <f t="shared" si="11"/>
        <v>8.7054471166059438E-2</v>
      </c>
      <c r="L70" s="8">
        <v>6905.6824999999981</v>
      </c>
      <c r="M70" s="11">
        <f t="shared" si="12"/>
        <v>4.5324919360165028</v>
      </c>
    </row>
    <row r="71" spans="1:13" x14ac:dyDescent="0.3">
      <c r="A71" s="3" t="s">
        <v>76</v>
      </c>
      <c r="B71" s="7">
        <v>16185.372499999998</v>
      </c>
      <c r="C71" s="11">
        <f t="shared" si="7"/>
        <v>9.2220629468799081E-2</v>
      </c>
      <c r="D71" s="7">
        <v>43775.992500000008</v>
      </c>
      <c r="E71" s="11">
        <f t="shared" si="8"/>
        <v>-2.7933213031461341</v>
      </c>
      <c r="F71" s="7">
        <v>31541.109999999997</v>
      </c>
      <c r="G71" s="11">
        <f t="shared" si="9"/>
        <v>-3.1606392247474719</v>
      </c>
      <c r="H71" s="7">
        <v>15153.825000000001</v>
      </c>
      <c r="I71" s="11">
        <f t="shared" si="10"/>
        <v>-1.3808564130923455</v>
      </c>
      <c r="J71" s="7">
        <v>51771.592499999984</v>
      </c>
      <c r="K71" s="11">
        <f t="shared" si="11"/>
        <v>-9.7689760188324287E-2</v>
      </c>
      <c r="L71" s="8">
        <v>6691.8599999999988</v>
      </c>
      <c r="M71" s="11">
        <f t="shared" si="12"/>
        <v>-3.0963268293901343</v>
      </c>
    </row>
    <row r="72" spans="1:13" x14ac:dyDescent="0.3">
      <c r="A72" s="3" t="s">
        <v>77</v>
      </c>
      <c r="B72" s="7">
        <v>16619.752380952385</v>
      </c>
      <c r="C72" s="11">
        <f t="shared" si="7"/>
        <v>2.6837805614445198</v>
      </c>
      <c r="D72" s="7">
        <v>43732.885714285716</v>
      </c>
      <c r="E72" s="11">
        <f t="shared" si="8"/>
        <v>-9.8471292716645106E-2</v>
      </c>
      <c r="F72" s="7">
        <v>31539.764285714278</v>
      </c>
      <c r="G72" s="11">
        <f t="shared" si="9"/>
        <v>-4.2665406693636141E-3</v>
      </c>
      <c r="H72" s="7">
        <v>15647.780952380956</v>
      </c>
      <c r="I72" s="11">
        <f t="shared" si="10"/>
        <v>3.2596123578103535</v>
      </c>
      <c r="J72" s="7">
        <v>52303.040476190472</v>
      </c>
      <c r="K72" s="11">
        <f t="shared" si="11"/>
        <v>1.0265242974522908</v>
      </c>
      <c r="L72" s="8">
        <v>6726.3238095238103</v>
      </c>
      <c r="M72" s="11">
        <f t="shared" si="12"/>
        <v>0.51501091660332865</v>
      </c>
    </row>
    <row r="73" spans="1:13" x14ac:dyDescent="0.3">
      <c r="A73" s="3" t="s">
        <v>78</v>
      </c>
      <c r="B73" s="7">
        <v>17900.984999999997</v>
      </c>
      <c r="C73" s="11">
        <f t="shared" si="7"/>
        <v>7.709095717430853</v>
      </c>
      <c r="D73" s="7">
        <v>47394.972500000011</v>
      </c>
      <c r="E73" s="11">
        <f t="shared" si="8"/>
        <v>8.3737597597362381</v>
      </c>
      <c r="F73" s="7">
        <v>34294.875</v>
      </c>
      <c r="G73" s="11">
        <f t="shared" si="9"/>
        <v>8.7353560709191171</v>
      </c>
      <c r="H73" s="7">
        <v>16409.852500000001</v>
      </c>
      <c r="I73" s="11">
        <f t="shared" si="10"/>
        <v>4.8701573081714757</v>
      </c>
      <c r="J73" s="7">
        <v>54663.565000000002</v>
      </c>
      <c r="K73" s="11">
        <f t="shared" si="11"/>
        <v>4.5131688374485508</v>
      </c>
      <c r="L73" s="8">
        <v>7559.3250000000016</v>
      </c>
      <c r="M73" s="11">
        <f t="shared" si="12"/>
        <v>12.384196985829673</v>
      </c>
    </row>
    <row r="74" spans="1:13" x14ac:dyDescent="0.3">
      <c r="A74" s="3" t="s">
        <v>79</v>
      </c>
      <c r="B74" s="7">
        <v>18602.445454545454</v>
      </c>
      <c r="C74" s="11">
        <f t="shared" si="7"/>
        <v>3.9185578589415995</v>
      </c>
      <c r="D74" s="7">
        <v>46765.859090909093</v>
      </c>
      <c r="E74" s="11">
        <f t="shared" si="8"/>
        <v>-1.3273842686392909</v>
      </c>
      <c r="F74" s="7">
        <v>35952.299999999996</v>
      </c>
      <c r="G74" s="11">
        <f t="shared" si="9"/>
        <v>4.8328649688911121</v>
      </c>
      <c r="H74" s="7">
        <v>17514.495454545453</v>
      </c>
      <c r="I74" s="11">
        <f t="shared" si="10"/>
        <v>6.7315836906239834</v>
      </c>
      <c r="J74" s="7">
        <v>56294.115909090913</v>
      </c>
      <c r="K74" s="11">
        <f t="shared" si="11"/>
        <v>2.982884319913842</v>
      </c>
      <c r="L74" s="4">
        <v>7821.7659090909083</v>
      </c>
      <c r="M74" s="11">
        <f t="shared" si="12"/>
        <v>3.4717505741703998</v>
      </c>
    </row>
    <row r="75" spans="1:13" x14ac:dyDescent="0.3">
      <c r="A75" s="3" t="s">
        <v>80</v>
      </c>
      <c r="B75" s="7">
        <v>20040.083333333332</v>
      </c>
      <c r="C75" s="11">
        <f t="shared" si="7"/>
        <v>7.7282198316382962</v>
      </c>
      <c r="D75" s="7">
        <v>46127.011904761916</v>
      </c>
      <c r="E75" s="11">
        <f t="shared" si="8"/>
        <v>-1.3660546359371037</v>
      </c>
      <c r="F75" s="7">
        <v>37806.878571428577</v>
      </c>
      <c r="G75" s="11">
        <f t="shared" si="9"/>
        <v>5.1584420786113307</v>
      </c>
      <c r="H75" s="7">
        <v>18800.278571428571</v>
      </c>
      <c r="I75" s="11">
        <f t="shared" si="10"/>
        <v>7.3412512522558844</v>
      </c>
      <c r="J75" s="7">
        <v>54108.126190476185</v>
      </c>
      <c r="K75" s="11">
        <f t="shared" si="11"/>
        <v>-3.8831584497123504</v>
      </c>
      <c r="L75" s="4">
        <v>8004.1785714285716</v>
      </c>
      <c r="M75" s="11">
        <f t="shared" si="12"/>
        <v>2.3321161034192133</v>
      </c>
    </row>
    <row r="76" spans="1:13" x14ac:dyDescent="0.3">
      <c r="A76" s="3" t="s">
        <v>81</v>
      </c>
      <c r="B76" s="7">
        <v>20822.031578947372</v>
      </c>
      <c r="C76" s="11">
        <f t="shared" si="7"/>
        <v>3.9019211278098784</v>
      </c>
      <c r="D76" s="7">
        <v>47038.384210526317</v>
      </c>
      <c r="E76" s="11">
        <f t="shared" si="8"/>
        <v>1.9757887366433042</v>
      </c>
      <c r="F76" s="7">
        <v>36519.726315789485</v>
      </c>
      <c r="G76" s="11">
        <f t="shared" si="9"/>
        <v>-3.4045451628789554</v>
      </c>
      <c r="H76" s="7">
        <v>18990.836842105269</v>
      </c>
      <c r="I76" s="11">
        <f t="shared" si="10"/>
        <v>1.0135928037060904</v>
      </c>
      <c r="J76" s="7">
        <v>53814.615789473683</v>
      </c>
      <c r="K76" s="11">
        <f t="shared" si="11"/>
        <v>-0.54245160878286813</v>
      </c>
      <c r="L76" s="4">
        <v>8102.2210526315785</v>
      </c>
      <c r="M76" s="11">
        <f t="shared" si="12"/>
        <v>1.2248912281014797</v>
      </c>
    </row>
    <row r="77" spans="1:13" x14ac:dyDescent="0.3">
      <c r="A77" s="3" t="s">
        <v>82</v>
      </c>
      <c r="B77" s="7">
        <v>21834.665000000001</v>
      </c>
      <c r="C77" s="11">
        <f t="shared" si="7"/>
        <v>4.8632786729440811</v>
      </c>
      <c r="D77" s="7">
        <v>48183.400000000009</v>
      </c>
      <c r="E77" s="11">
        <f t="shared" si="8"/>
        <v>2.434215819040523</v>
      </c>
      <c r="F77" s="7">
        <v>34280.789999999994</v>
      </c>
      <c r="G77" s="11">
        <f t="shared" si="9"/>
        <v>-6.1307587478317878</v>
      </c>
      <c r="H77" s="7">
        <v>19021.84</v>
      </c>
      <c r="I77" s="11">
        <f t="shared" si="10"/>
        <v>0.16325324761883456</v>
      </c>
      <c r="J77" s="7">
        <v>53798.072499999995</v>
      </c>
      <c r="K77" s="11">
        <f t="shared" si="11"/>
        <v>-3.0741257242096091E-2</v>
      </c>
      <c r="L77" s="4">
        <v>8916.7050000000017</v>
      </c>
      <c r="M77" s="11">
        <f t="shared" si="12"/>
        <v>10.052600911251135</v>
      </c>
    </row>
    <row r="78" spans="1:13" x14ac:dyDescent="0.3">
      <c r="A78" s="3" t="s">
        <v>83</v>
      </c>
      <c r="B78" s="7">
        <v>23100.995454545453</v>
      </c>
      <c r="C78" s="11">
        <f t="shared" si="7"/>
        <v>5.7996330813660384</v>
      </c>
      <c r="D78" s="7">
        <v>48364.570454545457</v>
      </c>
      <c r="E78" s="11">
        <f t="shared" si="8"/>
        <v>0.37600180673312505</v>
      </c>
      <c r="F78" s="7">
        <v>33343.340909090912</v>
      </c>
      <c r="G78" s="11">
        <f t="shared" si="9"/>
        <v>-2.7346192748448388</v>
      </c>
      <c r="H78" s="7">
        <v>19151.202272727274</v>
      </c>
      <c r="I78" s="11">
        <f t="shared" si="10"/>
        <v>0.68007234172548026</v>
      </c>
      <c r="J78" s="7">
        <v>55058.931818181816</v>
      </c>
      <c r="K78" s="11">
        <f t="shared" si="11"/>
        <v>2.3436886482909243</v>
      </c>
      <c r="L78" s="4">
        <v>9482.1590909090901</v>
      </c>
      <c r="M78" s="11">
        <f t="shared" si="12"/>
        <v>6.3415139438737542</v>
      </c>
    </row>
    <row r="79" spans="1:13" x14ac:dyDescent="0.3">
      <c r="A79" s="3" t="s">
        <v>84</v>
      </c>
      <c r="B79" s="7">
        <v>24994.794736842108</v>
      </c>
      <c r="C79" s="11">
        <f t="shared" si="7"/>
        <v>8.1979120164885497</v>
      </c>
      <c r="D79" s="7">
        <v>50679.281578947361</v>
      </c>
      <c r="E79" s="11">
        <f t="shared" si="8"/>
        <v>4.7859644004847341</v>
      </c>
      <c r="F79" s="7">
        <v>34649.447368421053</v>
      </c>
      <c r="G79" s="11">
        <f t="shared" si="9"/>
        <v>3.9171433447271551</v>
      </c>
      <c r="H79" s="7">
        <v>19645.389473684208</v>
      </c>
      <c r="I79" s="11">
        <f t="shared" si="10"/>
        <v>2.5804500099750567</v>
      </c>
      <c r="J79" s="7">
        <v>56807.834210526322</v>
      </c>
      <c r="K79" s="11">
        <f t="shared" si="11"/>
        <v>3.176419037913436</v>
      </c>
      <c r="L79" s="4">
        <v>9781.75</v>
      </c>
      <c r="M79" s="11">
        <f t="shared" si="12"/>
        <v>3.1595220689572616</v>
      </c>
    </row>
    <row r="80" spans="1:13" x14ac:dyDescent="0.3">
      <c r="A80" s="3" t="s">
        <v>85</v>
      </c>
      <c r="B80" s="7">
        <v>25549.402272727271</v>
      </c>
      <c r="C80" s="11">
        <f t="shared" si="7"/>
        <v>2.2188921402410093</v>
      </c>
      <c r="D80" s="7">
        <v>52140.361363636373</v>
      </c>
      <c r="E80" s="11">
        <f t="shared" si="8"/>
        <v>2.8829922981701435</v>
      </c>
      <c r="F80" s="7">
        <v>38971.652272727275</v>
      </c>
      <c r="G80" s="11">
        <f t="shared" si="9"/>
        <v>12.474094776603591</v>
      </c>
      <c r="H80" s="7">
        <v>20811.165909090902</v>
      </c>
      <c r="I80" s="11">
        <f t="shared" si="10"/>
        <v>5.9340968371652671</v>
      </c>
      <c r="J80" s="7">
        <v>60091.206818181796</v>
      </c>
      <c r="K80" s="11">
        <f t="shared" si="11"/>
        <v>5.7797883923676761</v>
      </c>
      <c r="L80" s="4">
        <v>9626.2977272727276</v>
      </c>
      <c r="M80" s="11">
        <f t="shared" si="12"/>
        <v>-1.5892071738418219</v>
      </c>
    </row>
    <row r="81" spans="1:13" x14ac:dyDescent="0.3">
      <c r="A81" s="3" t="s">
        <v>86</v>
      </c>
      <c r="B81" s="7">
        <v>25498.928571428565</v>
      </c>
      <c r="C81" s="11">
        <f t="shared" si="7"/>
        <v>-0.19755335471227184</v>
      </c>
      <c r="D81" s="7">
        <v>50667.590476190475</v>
      </c>
      <c r="E81" s="11">
        <f t="shared" si="8"/>
        <v>-2.8246273116032441</v>
      </c>
      <c r="F81" s="7">
        <v>40530.564285714288</v>
      </c>
      <c r="G81" s="11">
        <f t="shared" si="9"/>
        <v>4.0001178345675497</v>
      </c>
      <c r="H81" s="7">
        <v>22413.547619047615</v>
      </c>
      <c r="I81" s="11">
        <f t="shared" si="10"/>
        <v>7.6996248886601197</v>
      </c>
      <c r="J81" s="7">
        <v>62400.228571428561</v>
      </c>
      <c r="K81" s="11">
        <f t="shared" si="11"/>
        <v>3.8425285087603269</v>
      </c>
      <c r="L81" s="4">
        <v>9192.2809523809537</v>
      </c>
      <c r="M81" s="11">
        <f t="shared" si="12"/>
        <v>-4.5086572967937606</v>
      </c>
    </row>
    <row r="82" spans="1:13" x14ac:dyDescent="0.3">
      <c r="A82" s="3" t="s">
        <v>87</v>
      </c>
      <c r="B82" s="7">
        <v>26184.609523809526</v>
      </c>
      <c r="C82" s="11">
        <f t="shared" si="7"/>
        <v>2.6890578969238068</v>
      </c>
      <c r="D82" s="7">
        <v>52427.435714285733</v>
      </c>
      <c r="E82" s="11">
        <f t="shared" si="8"/>
        <v>3.4733154301510321</v>
      </c>
      <c r="F82" s="7">
        <v>42492.988095238099</v>
      </c>
      <c r="G82" s="11">
        <f t="shared" si="9"/>
        <v>4.8418368806562651</v>
      </c>
      <c r="H82" s="7">
        <v>23346.559523809519</v>
      </c>
      <c r="I82" s="11">
        <f t="shared" si="10"/>
        <v>4.1627140897990058</v>
      </c>
      <c r="J82" s="7">
        <v>64856.649999999994</v>
      </c>
      <c r="K82" s="11">
        <f t="shared" si="11"/>
        <v>3.9365583825700359</v>
      </c>
      <c r="L82" s="4">
        <v>9431.6357142857141</v>
      </c>
      <c r="M82" s="11">
        <f t="shared" si="12"/>
        <v>2.6038669090370168</v>
      </c>
    </row>
    <row r="83" spans="1:13" x14ac:dyDescent="0.3">
      <c r="A83" s="3" t="s">
        <v>88</v>
      </c>
      <c r="B83" s="7">
        <v>25301.818181818177</v>
      </c>
      <c r="C83" s="11">
        <f t="shared" si="7"/>
        <v>-3.3714130477623958</v>
      </c>
      <c r="D83" s="7">
        <v>51544.872727272748</v>
      </c>
      <c r="E83" s="11">
        <f t="shared" si="8"/>
        <v>-1.683399111531406</v>
      </c>
      <c r="F83" s="7">
        <v>42087.552272727276</v>
      </c>
      <c r="G83" s="11">
        <f t="shared" si="9"/>
        <v>-0.95412405830847435</v>
      </c>
      <c r="H83" s="7">
        <v>23294.995454545457</v>
      </c>
      <c r="I83" s="11">
        <f t="shared" si="10"/>
        <v>-0.22086367463041451</v>
      </c>
      <c r="J83" s="7">
        <v>61409.97954545456</v>
      </c>
      <c r="K83" s="11">
        <f t="shared" si="11"/>
        <v>-5.3142899834410731</v>
      </c>
      <c r="L83" s="4">
        <v>9651.8613636363661</v>
      </c>
      <c r="M83" s="11">
        <f t="shared" si="12"/>
        <v>2.3349677195132248</v>
      </c>
    </row>
    <row r="84" spans="1:13" x14ac:dyDescent="0.3">
      <c r="A84" s="3" t="s">
        <v>89</v>
      </c>
      <c r="B84" s="7">
        <v>23468.718421052632</v>
      </c>
      <c r="C84" s="11">
        <f t="shared" si="7"/>
        <v>-7.2449329435257948</v>
      </c>
      <c r="D84" s="7">
        <v>51439.778947368424</v>
      </c>
      <c r="E84" s="11">
        <f t="shared" si="8"/>
        <v>-0.20388794140666916</v>
      </c>
      <c r="F84" s="7">
        <v>42282.1</v>
      </c>
      <c r="G84" s="11">
        <f t="shared" si="9"/>
        <v>0.46224528813662796</v>
      </c>
      <c r="H84" s="7">
        <v>22368.610526315784</v>
      </c>
      <c r="I84" s="11">
        <f t="shared" si="10"/>
        <v>-3.9767551362578639</v>
      </c>
      <c r="J84" s="7">
        <v>57547.813157894736</v>
      </c>
      <c r="K84" s="11">
        <f t="shared" si="11"/>
        <v>-6.2891510730778188</v>
      </c>
      <c r="L84" s="4">
        <v>9090.7105263157882</v>
      </c>
      <c r="M84" s="11">
        <f t="shared" si="12"/>
        <v>-5.8139131529046617</v>
      </c>
    </row>
    <row r="85" spans="1:13" x14ac:dyDescent="0.3">
      <c r="A85" s="3" t="s">
        <v>90</v>
      </c>
      <c r="B85" s="7">
        <v>23351.476190476187</v>
      </c>
      <c r="C85" s="11">
        <f t="shared" si="7"/>
        <v>-0.4995680994292071</v>
      </c>
      <c r="D85" s="7">
        <v>52385.614285714284</v>
      </c>
      <c r="E85" s="11">
        <f t="shared" si="8"/>
        <v>1.8387235670542228</v>
      </c>
      <c r="F85" s="7">
        <v>44541.176190476188</v>
      </c>
      <c r="G85" s="11">
        <f t="shared" si="9"/>
        <v>5.3428665806007496</v>
      </c>
      <c r="H85" s="7">
        <v>22631.540476190479</v>
      </c>
      <c r="I85" s="11">
        <f t="shared" si="10"/>
        <v>1.1754415839346317</v>
      </c>
      <c r="J85" s="7">
        <v>56718.361904761899</v>
      </c>
      <c r="K85" s="11">
        <f t="shared" si="11"/>
        <v>-1.4413254085903482</v>
      </c>
      <c r="L85" s="4">
        <v>9121.3761904761905</v>
      </c>
      <c r="M85" s="11">
        <f t="shared" si="12"/>
        <v>0.3373296737546671</v>
      </c>
    </row>
  </sheetData>
  <mergeCells count="1">
    <mergeCell ref="Q1:R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F4299-C46F-4A75-ACBB-4B1FAF930589}">
  <dimension ref="A1:C8"/>
  <sheetViews>
    <sheetView workbookViewId="0">
      <selection activeCell="A2" sqref="A1:C8"/>
    </sheetView>
  </sheetViews>
  <sheetFormatPr defaultRowHeight="14.4" x14ac:dyDescent="0.3"/>
  <sheetData>
    <row r="1" spans="1:3" x14ac:dyDescent="0.3">
      <c r="A1" s="30" t="s">
        <v>105</v>
      </c>
      <c r="B1" s="30"/>
      <c r="C1" s="30"/>
    </row>
    <row r="2" spans="1:3" x14ac:dyDescent="0.3">
      <c r="A2" s="3" t="s">
        <v>106</v>
      </c>
      <c r="B2" s="3" t="s">
        <v>107</v>
      </c>
      <c r="C2" s="3" t="s">
        <v>108</v>
      </c>
    </row>
    <row r="3" spans="1:3" x14ac:dyDescent="0.3">
      <c r="A3" s="3" t="s">
        <v>103</v>
      </c>
      <c r="B3" s="11">
        <v>7.80198996902228</v>
      </c>
      <c r="C3" s="3">
        <f t="shared" ref="C3:C8" si="0">RANK(B3,$B$3:$B$8,0)</f>
        <v>1</v>
      </c>
    </row>
    <row r="4" spans="1:3" x14ac:dyDescent="0.3">
      <c r="A4" s="3" t="s">
        <v>98</v>
      </c>
      <c r="B4" s="11">
        <v>6.1004237277468425</v>
      </c>
      <c r="C4" s="3">
        <f t="shared" si="0"/>
        <v>2</v>
      </c>
    </row>
    <row r="5" spans="1:3" x14ac:dyDescent="0.3">
      <c r="A5" s="3" t="s">
        <v>99</v>
      </c>
      <c r="B5" s="11">
        <v>5.7137013774414775</v>
      </c>
      <c r="C5" s="3">
        <f t="shared" si="0"/>
        <v>3</v>
      </c>
    </row>
    <row r="6" spans="1:3" x14ac:dyDescent="0.3">
      <c r="A6" s="3" t="s">
        <v>100</v>
      </c>
      <c r="B6" s="11">
        <v>5.4391798465849419</v>
      </c>
      <c r="C6" s="3">
        <f t="shared" si="0"/>
        <v>4</v>
      </c>
    </row>
    <row r="7" spans="1:3" x14ac:dyDescent="0.3">
      <c r="A7" s="3" t="s">
        <v>101</v>
      </c>
      <c r="B7" s="11">
        <v>5.0732182919898152</v>
      </c>
      <c r="C7" s="3">
        <f t="shared" si="0"/>
        <v>5</v>
      </c>
    </row>
    <row r="8" spans="1:3" x14ac:dyDescent="0.3">
      <c r="A8" s="3" t="s">
        <v>102</v>
      </c>
      <c r="B8" s="11">
        <v>3.943533334358972</v>
      </c>
      <c r="C8" s="3">
        <f t="shared" si="0"/>
        <v>6</v>
      </c>
    </row>
  </sheetData>
  <sortState xmlns:xlrd2="http://schemas.microsoft.com/office/spreadsheetml/2017/richdata2" ref="A3:C8">
    <sortCondition ref="C3:C8"/>
  </sortState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36B4A-557D-42CB-8EA2-BA47CDA565C4}">
  <dimension ref="A1:M85"/>
  <sheetViews>
    <sheetView topLeftCell="B1" workbookViewId="0">
      <selection activeCell="J2" sqref="J2:K9"/>
    </sheetView>
  </sheetViews>
  <sheetFormatPr defaultRowHeight="14.4" x14ac:dyDescent="0.3"/>
  <cols>
    <col min="1" max="1" width="15.44140625" bestFit="1" customWidth="1"/>
    <col min="2" max="4" width="12.6640625" bestFit="1" customWidth="1"/>
    <col min="5" max="5" width="14.5546875" bestFit="1" customWidth="1"/>
    <col min="6" max="6" width="13.21875" bestFit="1" customWidth="1"/>
    <col min="7" max="7" width="13.109375" bestFit="1" customWidth="1"/>
    <col min="10" max="10" width="13.77734375" customWidth="1"/>
    <col min="11" max="11" width="16.6640625" customWidth="1"/>
  </cols>
  <sheetData>
    <row r="1" spans="1:13" x14ac:dyDescent="0.3">
      <c r="A1" s="3" t="s">
        <v>0</v>
      </c>
      <c r="B1" s="3" t="s">
        <v>91</v>
      </c>
      <c r="C1" s="3" t="s">
        <v>92</v>
      </c>
      <c r="D1" s="3" t="s">
        <v>93</v>
      </c>
      <c r="E1" s="3" t="s">
        <v>94</v>
      </c>
      <c r="F1" s="3" t="s">
        <v>95</v>
      </c>
      <c r="G1" s="3" t="s">
        <v>96</v>
      </c>
    </row>
    <row r="2" spans="1:13" x14ac:dyDescent="0.3">
      <c r="A2" s="3" t="s">
        <v>7</v>
      </c>
      <c r="B2" s="3" t="s">
        <v>97</v>
      </c>
      <c r="C2" s="3" t="s">
        <v>97</v>
      </c>
      <c r="D2" s="3" t="s">
        <v>97</v>
      </c>
      <c r="E2" s="3" t="s">
        <v>97</v>
      </c>
      <c r="F2" s="3" t="s">
        <v>97</v>
      </c>
      <c r="G2" s="3" t="s">
        <v>97</v>
      </c>
      <c r="J2" s="29" t="s">
        <v>110</v>
      </c>
      <c r="K2" s="29"/>
    </row>
    <row r="3" spans="1:13" x14ac:dyDescent="0.3">
      <c r="A3" s="3" t="s">
        <v>8</v>
      </c>
      <c r="B3" s="11">
        <v>-4.9339364257365643</v>
      </c>
      <c r="C3" s="11">
        <v>-2.8353155528428662</v>
      </c>
      <c r="D3" s="11">
        <v>2.2917466191310214</v>
      </c>
      <c r="E3" s="11">
        <v>-5.9766532830479902</v>
      </c>
      <c r="F3" s="11">
        <v>-1.8077192902749266</v>
      </c>
      <c r="G3" s="11">
        <v>-2.9265140316875211</v>
      </c>
      <c r="J3" s="3" t="s">
        <v>106</v>
      </c>
      <c r="K3" s="3" t="s">
        <v>109</v>
      </c>
    </row>
    <row r="4" spans="1:13" x14ac:dyDescent="0.3">
      <c r="A4" s="3" t="s">
        <v>9</v>
      </c>
      <c r="B4" s="11">
        <v>-2.6922836346158214</v>
      </c>
      <c r="C4" s="11">
        <v>-4.4353939789348056</v>
      </c>
      <c r="D4" s="11">
        <v>0.23248651590711983</v>
      </c>
      <c r="E4" s="11">
        <v>-5.4443567468664709</v>
      </c>
      <c r="F4" s="11">
        <v>-2.0064357055797712</v>
      </c>
      <c r="G4" s="11">
        <v>-7.5522172518294903</v>
      </c>
      <c r="J4" s="3" t="s">
        <v>98</v>
      </c>
      <c r="K4" s="11">
        <f>AVERAGE(B$2:B$85)</f>
        <v>1.0204974534577098</v>
      </c>
      <c r="M4" s="12"/>
    </row>
    <row r="5" spans="1:13" x14ac:dyDescent="0.3">
      <c r="A5" s="3" t="s">
        <v>10</v>
      </c>
      <c r="B5" s="11">
        <v>4.9585256544671976</v>
      </c>
      <c r="C5" s="11">
        <v>2.3622487496607469</v>
      </c>
      <c r="D5" s="11">
        <v>4.3988150243367006</v>
      </c>
      <c r="E5" s="11">
        <v>2.1170138205775126</v>
      </c>
      <c r="F5" s="11">
        <v>4.9499178778132427</v>
      </c>
      <c r="G5" s="11">
        <v>0.94428306510321547</v>
      </c>
      <c r="J5" s="3" t="s">
        <v>99</v>
      </c>
      <c r="K5" s="11">
        <v>1.000947337284795</v>
      </c>
    </row>
    <row r="6" spans="1:13" x14ac:dyDescent="0.3">
      <c r="A6" s="3" t="s">
        <v>11</v>
      </c>
      <c r="B6" s="11">
        <v>-2.4708199877724222</v>
      </c>
      <c r="C6" s="11">
        <v>4.3999803843390239</v>
      </c>
      <c r="D6" s="11">
        <v>2.3413692840131453</v>
      </c>
      <c r="E6" s="11">
        <v>-3.4103660390418162</v>
      </c>
      <c r="F6" s="11">
        <v>3.9596101265510288</v>
      </c>
      <c r="G6" s="11">
        <v>-2.2052287233226648</v>
      </c>
      <c r="J6" s="3" t="s">
        <v>100</v>
      </c>
      <c r="K6" s="11">
        <v>1.7052292990012272</v>
      </c>
    </row>
    <row r="7" spans="1:13" x14ac:dyDescent="0.3">
      <c r="A7" s="3" t="s">
        <v>12</v>
      </c>
      <c r="B7" s="11">
        <v>-0.80751195915688712</v>
      </c>
      <c r="C7" s="11">
        <v>1.4493022609565418</v>
      </c>
      <c r="D7" s="11">
        <v>2.1372157074321487</v>
      </c>
      <c r="E7" s="11">
        <v>5.0523242879314507</v>
      </c>
      <c r="F7" s="11">
        <v>0.35971545153585793</v>
      </c>
      <c r="G7" s="11">
        <v>-3.150522136417095</v>
      </c>
      <c r="J7" s="3" t="s">
        <v>101</v>
      </c>
      <c r="K7" s="11">
        <v>1.1409130462026225</v>
      </c>
    </row>
    <row r="8" spans="1:13" x14ac:dyDescent="0.3">
      <c r="A8" s="3" t="s">
        <v>13</v>
      </c>
      <c r="B8" s="11">
        <v>-1.3227994997957258</v>
      </c>
      <c r="C8" s="11">
        <v>1.6592732634983682</v>
      </c>
      <c r="D8" s="11">
        <v>4.4103090176891095</v>
      </c>
      <c r="E8" s="11">
        <v>2.1273143749014656</v>
      </c>
      <c r="F8" s="11">
        <v>3.5578270437505082</v>
      </c>
      <c r="G8" s="11">
        <v>-6.8981470846020283</v>
      </c>
      <c r="J8" s="3" t="s">
        <v>102</v>
      </c>
      <c r="K8" s="11">
        <v>0.96576189371394328</v>
      </c>
    </row>
    <row r="9" spans="1:13" x14ac:dyDescent="0.3">
      <c r="A9" s="3" t="s">
        <v>14</v>
      </c>
      <c r="B9" s="11">
        <v>-0.15659809802728308</v>
      </c>
      <c r="C9" s="11">
        <v>4.0247229327130354</v>
      </c>
      <c r="D9" s="11">
        <v>4.2426531754961001</v>
      </c>
      <c r="E9" s="11">
        <v>6.2601306598984223</v>
      </c>
      <c r="F9" s="11">
        <v>7.5206261319867833</v>
      </c>
      <c r="G9" s="11">
        <v>5.8590156861585845</v>
      </c>
      <c r="J9" s="3" t="s">
        <v>103</v>
      </c>
      <c r="K9" s="11">
        <v>1.2795058949756899</v>
      </c>
    </row>
    <row r="10" spans="1:13" x14ac:dyDescent="0.3">
      <c r="A10" s="3" t="s">
        <v>15</v>
      </c>
      <c r="B10" s="11">
        <v>-3.5656430460076431</v>
      </c>
      <c r="C10" s="11">
        <v>-5.4505710609847169</v>
      </c>
      <c r="D10" s="11">
        <v>6.5948976804845714</v>
      </c>
      <c r="E10" s="11">
        <v>7.7807446405366107</v>
      </c>
      <c r="F10" s="11">
        <v>-4.0721799745663949</v>
      </c>
      <c r="G10" s="11">
        <v>5.1996327465939745</v>
      </c>
    </row>
    <row r="11" spans="1:13" x14ac:dyDescent="0.3">
      <c r="A11" s="3" t="s">
        <v>16</v>
      </c>
      <c r="B11" s="11">
        <v>-15.341985559276333</v>
      </c>
      <c r="C11" s="11">
        <v>-5.5927723620039496</v>
      </c>
      <c r="D11" s="11">
        <v>-7.5648310179329101</v>
      </c>
      <c r="E11" s="11">
        <v>-7.49331876938676</v>
      </c>
      <c r="F11" s="11">
        <v>-7.3871166043074217</v>
      </c>
      <c r="G11" s="11">
        <v>-6.9436070966819958</v>
      </c>
    </row>
    <row r="12" spans="1:13" x14ac:dyDescent="0.3">
      <c r="A12" s="3" t="s">
        <v>17</v>
      </c>
      <c r="B12" s="11">
        <v>2.6798888037271942</v>
      </c>
      <c r="C12" s="11">
        <v>4.2745954884003909</v>
      </c>
      <c r="D12" s="11">
        <v>-2.6598263272330636</v>
      </c>
      <c r="E12" s="11">
        <v>-2.8612104198256745</v>
      </c>
      <c r="F12" s="11">
        <v>2.9336475851003234</v>
      </c>
      <c r="G12" s="11">
        <v>-2.0090194784220667</v>
      </c>
    </row>
    <row r="13" spans="1:13" x14ac:dyDescent="0.3">
      <c r="A13" s="3" t="s">
        <v>18</v>
      </c>
      <c r="B13" s="11">
        <v>0.54431635229475417</v>
      </c>
      <c r="C13" s="11">
        <v>2.8139125066390962</v>
      </c>
      <c r="D13" s="11">
        <v>1.2746687286426865</v>
      </c>
      <c r="E13" s="11">
        <v>-6.106982888926769</v>
      </c>
      <c r="F13" s="11">
        <v>3.384576046627636</v>
      </c>
      <c r="G13" s="11">
        <v>-5.7084062223726928</v>
      </c>
    </row>
    <row r="14" spans="1:13" x14ac:dyDescent="0.3">
      <c r="A14" s="3" t="s">
        <v>19</v>
      </c>
      <c r="B14" s="11">
        <v>-5.3877182385020719</v>
      </c>
      <c r="C14" s="11">
        <v>1.7930244453918467</v>
      </c>
      <c r="D14" s="11">
        <v>0.66518899157563349</v>
      </c>
      <c r="E14" s="11">
        <v>0.48671213137690467</v>
      </c>
      <c r="F14" s="11">
        <v>0.36977355814840046</v>
      </c>
      <c r="G14" s="11">
        <v>-5.920668582263704</v>
      </c>
    </row>
    <row r="15" spans="1:13" x14ac:dyDescent="0.3">
      <c r="A15" s="3" t="s">
        <v>20</v>
      </c>
      <c r="B15" s="11">
        <v>-4.2228370202446435</v>
      </c>
      <c r="C15" s="11">
        <v>-0.9332652908005411</v>
      </c>
      <c r="D15" s="11">
        <v>7.6945331914694926</v>
      </c>
      <c r="E15" s="11">
        <v>-0.27377323512955448</v>
      </c>
      <c r="F15" s="11">
        <v>-2.6330013142744506</v>
      </c>
      <c r="G15" s="11">
        <v>-5.6770468020642211</v>
      </c>
    </row>
    <row r="16" spans="1:13" x14ac:dyDescent="0.3">
      <c r="A16" s="3" t="s">
        <v>21</v>
      </c>
      <c r="B16" s="11">
        <v>2.5229262876337879</v>
      </c>
      <c r="C16" s="11">
        <v>7.1574385333644495</v>
      </c>
      <c r="D16" s="11">
        <v>-2.1050808148347535</v>
      </c>
      <c r="E16" s="11">
        <v>3.799947807804215</v>
      </c>
      <c r="F16" s="11">
        <v>2.0129829191999029</v>
      </c>
      <c r="G16" s="11">
        <v>7.7516307235052482</v>
      </c>
    </row>
    <row r="17" spans="1:7" x14ac:dyDescent="0.3">
      <c r="A17" s="3" t="s">
        <v>22</v>
      </c>
      <c r="B17" s="11">
        <v>1.3146808964201711</v>
      </c>
      <c r="C17" s="11">
        <v>3.5116525996560899</v>
      </c>
      <c r="D17" s="11">
        <v>3.8876214706609553</v>
      </c>
      <c r="E17" s="11">
        <v>2.1248854063570932</v>
      </c>
      <c r="F17" s="11">
        <v>0.59965479641633068</v>
      </c>
      <c r="G17" s="11">
        <v>3.0109850531244313</v>
      </c>
    </row>
    <row r="18" spans="1:7" x14ac:dyDescent="0.3">
      <c r="A18" s="3" t="s">
        <v>23</v>
      </c>
      <c r="B18" s="11">
        <v>-5.1602734575714075</v>
      </c>
      <c r="C18" s="11">
        <v>0.17812085645258957</v>
      </c>
      <c r="D18" s="11">
        <v>-1.1895780658256427</v>
      </c>
      <c r="E18" s="11">
        <v>-6.4534279288549437</v>
      </c>
      <c r="F18" s="11">
        <v>-1.6550333297456266</v>
      </c>
      <c r="G18" s="11">
        <v>-5.6775765907119684</v>
      </c>
    </row>
    <row r="19" spans="1:7" x14ac:dyDescent="0.3">
      <c r="A19" s="3" t="s">
        <v>24</v>
      </c>
      <c r="B19" s="11">
        <v>-1.9756573109792956</v>
      </c>
      <c r="C19" s="11">
        <v>2.9644289953401568</v>
      </c>
      <c r="D19" s="11">
        <v>1.9508808700472768</v>
      </c>
      <c r="E19" s="11">
        <v>-7.1381762978871457</v>
      </c>
      <c r="F19" s="11">
        <v>0.31234317191562433</v>
      </c>
      <c r="G19" s="11">
        <v>0.91274974166160261</v>
      </c>
    </row>
    <row r="20" spans="1:7" x14ac:dyDescent="0.3">
      <c r="A20" s="3" t="s">
        <v>25</v>
      </c>
      <c r="B20" s="11">
        <v>-7.0031611087133001</v>
      </c>
      <c r="C20" s="11">
        <v>-2.3091091871365794</v>
      </c>
      <c r="D20" s="11">
        <v>-4.2729109153278726</v>
      </c>
      <c r="E20" s="11">
        <v>-0.26389874697201193</v>
      </c>
      <c r="F20" s="11">
        <v>-1.874422622878662</v>
      </c>
      <c r="G20" s="11">
        <v>-5.0139030760655752</v>
      </c>
    </row>
    <row r="21" spans="1:7" x14ac:dyDescent="0.3">
      <c r="A21" s="3" t="s">
        <v>26</v>
      </c>
      <c r="B21" s="11">
        <v>-6.7662022226858003</v>
      </c>
      <c r="C21" s="11">
        <v>-7.7966649770841094</v>
      </c>
      <c r="D21" s="11">
        <v>0.69462085573475463</v>
      </c>
      <c r="E21" s="11">
        <v>-3.3147030456069162</v>
      </c>
      <c r="F21" s="11">
        <v>-1.6820783583349252</v>
      </c>
      <c r="G21" s="11">
        <v>-15.691338208423723</v>
      </c>
    </row>
    <row r="22" spans="1:7" x14ac:dyDescent="0.3">
      <c r="A22" s="3" t="s">
        <v>27</v>
      </c>
      <c r="B22" s="11">
        <v>4.6789470567663978</v>
      </c>
      <c r="C22" s="11">
        <v>1.4042842082309115</v>
      </c>
      <c r="D22" s="11">
        <v>-3.9702231245889369E-2</v>
      </c>
      <c r="E22" s="11">
        <v>1.5446080285535921</v>
      </c>
      <c r="F22" s="11">
        <v>2.4415908642401689</v>
      </c>
      <c r="G22" s="11">
        <v>2.2550029957924349</v>
      </c>
    </row>
    <row r="23" spans="1:7" x14ac:dyDescent="0.3">
      <c r="A23" s="3" t="s">
        <v>28</v>
      </c>
      <c r="B23" s="11">
        <v>7.032069418481278</v>
      </c>
      <c r="C23" s="11">
        <v>2.2868886840541256</v>
      </c>
      <c r="D23" s="11">
        <v>-2.8934457048976689</v>
      </c>
      <c r="E23" s="11">
        <v>-5.2591178037006303</v>
      </c>
      <c r="F23" s="11">
        <v>5.6400302909606861</v>
      </c>
      <c r="G23" s="11">
        <v>-0.4119014040588927</v>
      </c>
    </row>
    <row r="24" spans="1:7" x14ac:dyDescent="0.3">
      <c r="A24" s="3" t="s">
        <v>29</v>
      </c>
      <c r="B24" s="11">
        <v>4.6140284736059742</v>
      </c>
      <c r="C24" s="11">
        <v>7.5941158844427505</v>
      </c>
      <c r="D24" s="11">
        <v>0.74424777026300704</v>
      </c>
      <c r="E24" s="11">
        <v>5.7995363766635153</v>
      </c>
      <c r="F24" s="11">
        <v>1.1262947289688576</v>
      </c>
      <c r="G24" s="11">
        <v>7.584630558324255</v>
      </c>
    </row>
    <row r="25" spans="1:7" x14ac:dyDescent="0.3">
      <c r="A25" s="3" t="s">
        <v>30</v>
      </c>
      <c r="B25" s="11">
        <v>-1.5021129203861086</v>
      </c>
      <c r="C25" s="11">
        <v>2.7323438519824896</v>
      </c>
      <c r="D25" s="11">
        <v>0.88704850597076912</v>
      </c>
      <c r="E25" s="11">
        <v>0.72423372586745993</v>
      </c>
      <c r="F25" s="11">
        <v>-3.7900635761368915</v>
      </c>
      <c r="G25" s="11">
        <v>2.5976621345682003</v>
      </c>
    </row>
    <row r="26" spans="1:7" x14ac:dyDescent="0.3">
      <c r="A26" s="3" t="s">
        <v>31</v>
      </c>
      <c r="B26" s="11">
        <v>2.1060643605026783</v>
      </c>
      <c r="C26" s="11">
        <v>-1.5048881612047049</v>
      </c>
      <c r="D26" s="11">
        <v>4.8818657525725566</v>
      </c>
      <c r="E26" s="11">
        <v>1.945644943684377</v>
      </c>
      <c r="F26" s="11">
        <v>1.5067177872431492</v>
      </c>
      <c r="G26" s="11">
        <v>5.4087828544218368</v>
      </c>
    </row>
    <row r="27" spans="1:7" x14ac:dyDescent="0.3">
      <c r="A27" s="3" t="s">
        <v>32</v>
      </c>
      <c r="B27" s="11">
        <v>-5.8271937942960452</v>
      </c>
      <c r="C27" s="11">
        <v>-2.4516765592789613</v>
      </c>
      <c r="D27" s="11">
        <v>1.4442434498061463</v>
      </c>
      <c r="E27" s="11">
        <v>-0.24300700543888037</v>
      </c>
      <c r="F27" s="11">
        <v>-1.0504333449283496</v>
      </c>
      <c r="G27" s="11">
        <v>-8.0775396001413426</v>
      </c>
    </row>
    <row r="28" spans="1:7" x14ac:dyDescent="0.3">
      <c r="A28" s="3" t="s">
        <v>33</v>
      </c>
      <c r="B28" s="11">
        <v>-25.234545491855371</v>
      </c>
      <c r="C28" s="11">
        <v>-25.229923931164521</v>
      </c>
      <c r="D28" s="11">
        <v>-18.616945678366541</v>
      </c>
      <c r="E28" s="11">
        <v>-10.175723493228315</v>
      </c>
      <c r="F28" s="11">
        <v>-13.328414765613608</v>
      </c>
      <c r="G28" s="11">
        <v>-29.16916556324874</v>
      </c>
    </row>
    <row r="29" spans="1:7" x14ac:dyDescent="0.3">
      <c r="A29" s="3" t="s">
        <v>34</v>
      </c>
      <c r="B29" s="11">
        <v>-7.7123190381241029</v>
      </c>
      <c r="C29" s="11">
        <v>-14.04306821339717</v>
      </c>
      <c r="D29" s="11">
        <v>-4.5336907177386916</v>
      </c>
      <c r="E29" s="11">
        <v>22.998851621122103</v>
      </c>
      <c r="F29" s="11">
        <v>8.3875498383407798</v>
      </c>
      <c r="G29" s="11">
        <v>-6.6829851388622794</v>
      </c>
    </row>
    <row r="30" spans="1:7" x14ac:dyDescent="0.3">
      <c r="A30" s="3" t="s">
        <v>35</v>
      </c>
      <c r="B30" s="11">
        <v>6.8721937905450767</v>
      </c>
      <c r="C30" s="11">
        <v>-5.1123251981414279</v>
      </c>
      <c r="D30" s="11">
        <v>6.4197722132153938</v>
      </c>
      <c r="E30" s="11">
        <v>3.8016955475392451</v>
      </c>
      <c r="F30" s="11">
        <v>-4.5285586462800076</v>
      </c>
      <c r="G30" s="11">
        <v>2.3379696602441591</v>
      </c>
    </row>
    <row r="31" spans="1:7" x14ac:dyDescent="0.3">
      <c r="A31" s="3" t="s">
        <v>36</v>
      </c>
      <c r="B31" s="11">
        <v>15.431132165311837</v>
      </c>
      <c r="C31" s="11">
        <v>12.00854141664909</v>
      </c>
      <c r="D31" s="11">
        <v>7.4861263683662829</v>
      </c>
      <c r="E31" s="11">
        <v>7.6065100450902365</v>
      </c>
      <c r="F31" s="11">
        <v>7.3023058630436966</v>
      </c>
      <c r="G31" s="11">
        <v>15.248523816696052</v>
      </c>
    </row>
    <row r="32" spans="1:7" x14ac:dyDescent="0.3">
      <c r="A32" s="3" t="s">
        <v>37</v>
      </c>
      <c r="B32" s="11">
        <v>8.2799995820806807</v>
      </c>
      <c r="C32" s="11">
        <v>5.8102943299500618</v>
      </c>
      <c r="D32" s="11">
        <v>13.34823478125911</v>
      </c>
      <c r="E32" s="11">
        <v>1.3017544054480124</v>
      </c>
      <c r="F32" s="11">
        <v>5.3775237668905023</v>
      </c>
      <c r="G32" s="11">
        <v>4.3966409848319392</v>
      </c>
    </row>
    <row r="33" spans="1:7" x14ac:dyDescent="0.3">
      <c r="A33" s="3" t="s">
        <v>38</v>
      </c>
      <c r="B33" s="11">
        <v>9.2282456756845566</v>
      </c>
      <c r="C33" s="11">
        <v>0.81969457734808915</v>
      </c>
      <c r="D33" s="11">
        <v>9.2861753711117547</v>
      </c>
      <c r="E33" s="11">
        <v>13.309238241340868</v>
      </c>
      <c r="F33" s="11">
        <v>1.533461420664461</v>
      </c>
      <c r="G33" s="11">
        <v>15.638734246663757</v>
      </c>
    </row>
    <row r="34" spans="1:7" x14ac:dyDescent="0.3">
      <c r="A34" s="3" t="s">
        <v>39</v>
      </c>
      <c r="B34" s="11">
        <v>1.6578150609699798</v>
      </c>
      <c r="C34" s="11">
        <v>-0.70927098404216293</v>
      </c>
      <c r="D34" s="11">
        <v>5.7398675845909946</v>
      </c>
      <c r="E34" s="11">
        <v>0.38835456836394788</v>
      </c>
      <c r="F34" s="11">
        <v>-3.2335632608662608</v>
      </c>
      <c r="G34" s="11">
        <v>-2.7302927898609526</v>
      </c>
    </row>
    <row r="35" spans="1:7" x14ac:dyDescent="0.3">
      <c r="A35" s="3" t="s">
        <v>40</v>
      </c>
      <c r="B35" s="11">
        <v>0.76616482495956473</v>
      </c>
      <c r="C35" s="11">
        <v>6.9352921141117507</v>
      </c>
      <c r="D35" s="11">
        <v>11.884107960752521</v>
      </c>
      <c r="E35" s="11">
        <v>1.3915963324429821</v>
      </c>
      <c r="F35" s="11">
        <v>-1.5188720165972538</v>
      </c>
      <c r="G35" s="11">
        <v>-1.0864702628651559</v>
      </c>
    </row>
    <row r="36" spans="1:7" x14ac:dyDescent="0.3">
      <c r="A36" s="3" t="s">
        <v>41</v>
      </c>
      <c r="B36" s="11">
        <v>4.9029163169910239</v>
      </c>
      <c r="C36" s="11">
        <v>18.812577835749334</v>
      </c>
      <c r="D36" s="11">
        <v>0.27363295748316213</v>
      </c>
      <c r="E36" s="11">
        <v>-1.1154194422411314</v>
      </c>
      <c r="F36" s="11">
        <v>3.281450244893068</v>
      </c>
      <c r="G36" s="11">
        <v>14.752671992347141</v>
      </c>
    </row>
    <row r="37" spans="1:7" x14ac:dyDescent="0.3">
      <c r="A37" s="3" t="s">
        <v>42</v>
      </c>
      <c r="B37" s="11">
        <v>9.0456451960452124</v>
      </c>
      <c r="C37" s="11">
        <v>7.8258604705504471</v>
      </c>
      <c r="D37" s="11">
        <v>7.8173286983749231</v>
      </c>
      <c r="E37" s="11">
        <v>7.626183703348838</v>
      </c>
      <c r="F37" s="11">
        <v>8.5169306247364496</v>
      </c>
      <c r="G37" s="11">
        <v>18.466575583914047</v>
      </c>
    </row>
    <row r="38" spans="1:7" x14ac:dyDescent="0.3">
      <c r="A38" s="3" t="s">
        <v>43</v>
      </c>
      <c r="B38" s="11">
        <v>9.2370536840906841</v>
      </c>
      <c r="C38" s="11">
        <v>4.2942847656288965</v>
      </c>
      <c r="D38" s="11">
        <v>12.483145535884393</v>
      </c>
      <c r="E38" s="11">
        <v>3.3467331042996289</v>
      </c>
      <c r="F38" s="11">
        <v>2.6002716370568413</v>
      </c>
      <c r="G38" s="11">
        <v>6.8244601381878987</v>
      </c>
    </row>
    <row r="39" spans="1:7" x14ac:dyDescent="0.3">
      <c r="A39" s="3" t="s">
        <v>44</v>
      </c>
      <c r="B39" s="11">
        <v>7.4003516116537646</v>
      </c>
      <c r="C39" s="11">
        <v>12.693289911946032</v>
      </c>
      <c r="D39" s="11">
        <v>-2.2405412785173526</v>
      </c>
      <c r="E39" s="11">
        <v>-2.9419023256339076</v>
      </c>
      <c r="F39" s="11">
        <v>-1.9901358572127208</v>
      </c>
      <c r="G39" s="11">
        <v>5.3870387205699508</v>
      </c>
    </row>
    <row r="40" spans="1:7" x14ac:dyDescent="0.3">
      <c r="A40" s="3" t="s">
        <v>45</v>
      </c>
      <c r="B40" s="11">
        <v>-4.1334664955090146</v>
      </c>
      <c r="C40" s="11">
        <v>-3.0578660658711501</v>
      </c>
      <c r="D40" s="11">
        <v>1.0775599784855854</v>
      </c>
      <c r="E40" s="11">
        <v>-4.0960786957151116</v>
      </c>
      <c r="F40" s="11">
        <v>-0.27279915229321061</v>
      </c>
      <c r="G40" s="11">
        <v>8.854047624412912</v>
      </c>
    </row>
    <row r="41" spans="1:7" x14ac:dyDescent="0.3">
      <c r="A41" s="3" t="s">
        <v>46</v>
      </c>
      <c r="B41" s="11">
        <v>-5.0197350406828454</v>
      </c>
      <c r="C41" s="11">
        <v>-6.5712934706361219</v>
      </c>
      <c r="D41" s="11">
        <v>2.0088039305808483</v>
      </c>
      <c r="E41" s="11">
        <v>8.2039747534604128</v>
      </c>
      <c r="F41" s="11">
        <v>2.4181217162141784</v>
      </c>
      <c r="G41" s="11">
        <v>15.161362592587906</v>
      </c>
    </row>
    <row r="42" spans="1:7" x14ac:dyDescent="0.3">
      <c r="A42" s="3" t="s">
        <v>47</v>
      </c>
      <c r="B42" s="11">
        <v>3.6625830269861144</v>
      </c>
      <c r="C42" s="11">
        <v>3.9566999875441358</v>
      </c>
      <c r="D42" s="11">
        <v>-5.0906219802258228E-2</v>
      </c>
      <c r="E42" s="11">
        <v>6.7719984824630997</v>
      </c>
      <c r="F42" s="11">
        <v>0.19161583651195044</v>
      </c>
      <c r="G42" s="11">
        <v>15.687397887713313</v>
      </c>
    </row>
    <row r="43" spans="1:7" x14ac:dyDescent="0.3">
      <c r="A43" s="3" t="s">
        <v>48</v>
      </c>
      <c r="B43" s="11">
        <v>5.4255436394911136</v>
      </c>
      <c r="C43" s="11">
        <v>4.1613289052845364</v>
      </c>
      <c r="D43" s="11">
        <v>7.5070716266306281</v>
      </c>
      <c r="E43" s="11">
        <v>1.5820416975869036</v>
      </c>
      <c r="F43" s="11">
        <v>3.9308981860742769</v>
      </c>
      <c r="G43" s="11">
        <v>1.398618376683098</v>
      </c>
    </row>
    <row r="44" spans="1:7" x14ac:dyDescent="0.3">
      <c r="A44" s="3" t="s">
        <v>49</v>
      </c>
      <c r="B44" s="11">
        <v>-2.7221231554227892</v>
      </c>
      <c r="C44" s="11">
        <v>0.18526095636910941</v>
      </c>
      <c r="D44" s="11">
        <v>4.1945332724297391</v>
      </c>
      <c r="E44" s="11">
        <v>1.8208414290043213</v>
      </c>
      <c r="F44" s="11">
        <v>1.1437323331159064</v>
      </c>
      <c r="G44" s="11">
        <v>2.3393876463555721</v>
      </c>
    </row>
    <row r="45" spans="1:7" x14ac:dyDescent="0.3">
      <c r="A45" s="3" t="s">
        <v>50</v>
      </c>
      <c r="B45" s="11">
        <v>-2.9096686837526122</v>
      </c>
      <c r="C45" s="11">
        <v>1.7889859515234248</v>
      </c>
      <c r="D45" s="11">
        <v>11.502567139446281</v>
      </c>
      <c r="E45" s="11">
        <v>-1.616748493422107</v>
      </c>
      <c r="F45" s="11">
        <v>3.5255286608087038</v>
      </c>
      <c r="G45" s="11">
        <v>5.8324431544463575</v>
      </c>
    </row>
    <row r="46" spans="1:7" x14ac:dyDescent="0.3">
      <c r="A46" s="3" t="s">
        <v>51</v>
      </c>
      <c r="B46" s="11">
        <v>2.3527543280539813</v>
      </c>
      <c r="C46" s="11">
        <v>3.9641945437782189</v>
      </c>
      <c r="D46" s="11">
        <v>8.4736853522356057</v>
      </c>
      <c r="E46" s="11">
        <v>1.1266925048238139</v>
      </c>
      <c r="F46" s="11">
        <v>8.3848510084786732</v>
      </c>
      <c r="G46" s="11">
        <v>-8.3669957179666993E-2</v>
      </c>
    </row>
    <row r="47" spans="1:7" x14ac:dyDescent="0.3">
      <c r="A47" s="3" t="s">
        <v>52</v>
      </c>
      <c r="B47" s="11">
        <v>9.602340644532859</v>
      </c>
      <c r="C47" s="11">
        <v>5.1488188340652021</v>
      </c>
      <c r="D47" s="11">
        <v>9.5376300711732226E-2</v>
      </c>
      <c r="E47" s="11">
        <v>0.40986868186567649</v>
      </c>
      <c r="F47" s="11">
        <v>-1.9270444879012285</v>
      </c>
      <c r="G47" s="11">
        <v>2.6537158317950791</v>
      </c>
    </row>
    <row r="48" spans="1:7" x14ac:dyDescent="0.3">
      <c r="A48" s="3" t="s">
        <v>53</v>
      </c>
      <c r="B48" s="11">
        <v>1.6808822682340039</v>
      </c>
      <c r="C48" s="11">
        <v>-2.2626696208783952</v>
      </c>
      <c r="D48" s="11">
        <v>0.20948237551241022</v>
      </c>
      <c r="E48" s="11">
        <v>-4.4557799979840524</v>
      </c>
      <c r="F48" s="11">
        <v>-3.4047618868540623</v>
      </c>
      <c r="G48" s="11">
        <v>-3.7296350802958025</v>
      </c>
    </row>
    <row r="49" spans="1:7" x14ac:dyDescent="0.3">
      <c r="A49" s="3" t="s">
        <v>54</v>
      </c>
      <c r="B49" s="11">
        <v>-5.866109268902747</v>
      </c>
      <c r="C49" s="11">
        <v>-5.996112079863293</v>
      </c>
      <c r="D49" s="11">
        <v>2.9574269263328219</v>
      </c>
      <c r="E49" s="11">
        <v>-1.6459047897342249</v>
      </c>
      <c r="F49" s="11">
        <v>-3.3992127176804248</v>
      </c>
      <c r="G49" s="11">
        <v>-1.4992467496696364</v>
      </c>
    </row>
    <row r="50" spans="1:7" x14ac:dyDescent="0.3">
      <c r="A50" s="3" t="s">
        <v>55</v>
      </c>
      <c r="B50" s="11">
        <v>6.4348848873428306</v>
      </c>
      <c r="C50" s="11">
        <v>5.4043054935239052</v>
      </c>
      <c r="D50" s="11">
        <v>1.6200800098109254</v>
      </c>
      <c r="E50" s="11">
        <v>0.94910329723730658</v>
      </c>
      <c r="F50" s="11">
        <v>0.16039176119532211</v>
      </c>
      <c r="G50" s="11">
        <v>3.0228420426403599</v>
      </c>
    </row>
    <row r="51" spans="1:7" x14ac:dyDescent="0.3">
      <c r="A51" s="3" t="s">
        <v>56</v>
      </c>
      <c r="B51" s="11">
        <v>-0.98097802922363297</v>
      </c>
      <c r="C51" s="11">
        <v>-6.1513870221501489E-2</v>
      </c>
      <c r="D51" s="11">
        <v>-7.2834406573146788</v>
      </c>
      <c r="E51" s="11">
        <v>-2.8073670408454161</v>
      </c>
      <c r="F51" s="11">
        <v>-2.2274724666741492</v>
      </c>
      <c r="G51" s="11">
        <v>1.932540025733638</v>
      </c>
    </row>
    <row r="52" spans="1:7" x14ac:dyDescent="0.3">
      <c r="A52" s="3" t="s">
        <v>57</v>
      </c>
      <c r="B52" s="11">
        <v>-10.125999834219797</v>
      </c>
      <c r="C52" s="11">
        <v>-6.833948101376901</v>
      </c>
      <c r="D52" s="11">
        <v>2.7713716337501428</v>
      </c>
      <c r="E52" s="11">
        <v>0.20646160290899496</v>
      </c>
      <c r="F52" s="11">
        <v>-2.6417139944473442</v>
      </c>
      <c r="G52" s="11">
        <v>8.1946358323155994</v>
      </c>
    </row>
    <row r="53" spans="1:7" x14ac:dyDescent="0.3">
      <c r="A53" s="3" t="s">
        <v>58</v>
      </c>
      <c r="B53" s="11">
        <v>6.6466696448214027</v>
      </c>
      <c r="C53" s="11">
        <v>5.0091994392566024</v>
      </c>
      <c r="D53" s="11">
        <v>-5.0464779635605508</v>
      </c>
      <c r="E53" s="11">
        <v>2.7135095255035733</v>
      </c>
      <c r="F53" s="11">
        <v>6.4913193332851362</v>
      </c>
      <c r="G53" s="11">
        <v>4.6297247423223258</v>
      </c>
    </row>
    <row r="54" spans="1:7" x14ac:dyDescent="0.3">
      <c r="A54" s="3" t="s">
        <v>59</v>
      </c>
      <c r="B54" s="11">
        <v>-0.74238773734079533</v>
      </c>
      <c r="C54" s="11">
        <v>-6.5605448289622252</v>
      </c>
      <c r="D54" s="11">
        <v>-11.980576081657048</v>
      </c>
      <c r="E54" s="11">
        <v>-6.3180134244249677</v>
      </c>
      <c r="F54" s="11">
        <v>-0.39560690974674356</v>
      </c>
      <c r="G54" s="11">
        <v>-14.60814961578944</v>
      </c>
    </row>
    <row r="55" spans="1:7" x14ac:dyDescent="0.3">
      <c r="A55" s="3" t="s">
        <v>60</v>
      </c>
      <c r="B55" s="11">
        <v>4.545959209106301</v>
      </c>
      <c r="C55" s="11">
        <v>-1.8539481696074847</v>
      </c>
      <c r="D55" s="11">
        <v>-4.2032482588852336</v>
      </c>
      <c r="E55" s="11">
        <v>-4.540080698815852</v>
      </c>
      <c r="F55" s="11">
        <v>-0.37866275480110867</v>
      </c>
      <c r="G55" s="11">
        <v>-11.444378881918945</v>
      </c>
    </row>
    <row r="56" spans="1:7" x14ac:dyDescent="0.3">
      <c r="A56" s="3" t="s">
        <v>61</v>
      </c>
      <c r="B56" s="11">
        <v>8.0104994246701491</v>
      </c>
      <c r="C56" s="11">
        <v>4.5972976586379213</v>
      </c>
      <c r="D56" s="11">
        <v>-2.2407996986231256</v>
      </c>
      <c r="E56" s="11">
        <v>2.4874245803975783</v>
      </c>
      <c r="F56" s="11">
        <v>9.9991748525727484</v>
      </c>
      <c r="G56" s="11">
        <v>0.24567850528484916</v>
      </c>
    </row>
    <row r="57" spans="1:7" x14ac:dyDescent="0.3">
      <c r="A57" s="3" t="s">
        <v>62</v>
      </c>
      <c r="B57" s="11">
        <v>6.0356946490930152</v>
      </c>
      <c r="C57" s="11">
        <v>8.9397137200809862</v>
      </c>
      <c r="D57" s="11">
        <v>5.8911360449192856</v>
      </c>
      <c r="E57" s="11">
        <v>2.0166002902839075</v>
      </c>
      <c r="F57" s="11">
        <v>4.0501024017110714</v>
      </c>
      <c r="G57" s="11">
        <v>16.429976319995738</v>
      </c>
    </row>
    <row r="58" spans="1:7" x14ac:dyDescent="0.3">
      <c r="A58" s="3" t="s">
        <v>63</v>
      </c>
      <c r="B58" s="11">
        <v>0.70086841136949118</v>
      </c>
      <c r="C58" s="11">
        <v>3.2212104433470703</v>
      </c>
      <c r="D58" s="11">
        <v>-6.4304964889055132</v>
      </c>
      <c r="E58" s="11">
        <v>-1.2286242282228788</v>
      </c>
      <c r="F58" s="11">
        <v>2.5485450068081472</v>
      </c>
      <c r="G58" s="11">
        <v>3.8849179401818126</v>
      </c>
    </row>
    <row r="59" spans="1:7" x14ac:dyDescent="0.3">
      <c r="A59" s="3" t="s">
        <v>64</v>
      </c>
      <c r="B59" s="11">
        <v>-2.3624672043679995</v>
      </c>
      <c r="C59" s="11">
        <v>-2.5638875789999394E-2</v>
      </c>
      <c r="D59" s="11">
        <v>1.8748771695296245</v>
      </c>
      <c r="E59" s="11">
        <v>3.2291465049292714</v>
      </c>
      <c r="F59" s="11">
        <v>-0.68737962769340322</v>
      </c>
      <c r="G59" s="11">
        <v>-3.0253082686469948</v>
      </c>
    </row>
    <row r="60" spans="1:7" x14ac:dyDescent="0.3">
      <c r="A60" s="3" t="s">
        <v>65</v>
      </c>
      <c r="B60" s="11">
        <v>2.5279360351669706</v>
      </c>
      <c r="C60" s="11">
        <v>5.8749259305609298</v>
      </c>
      <c r="D60" s="11">
        <v>5.3279477384838732</v>
      </c>
      <c r="E60" s="11">
        <v>0.40125683220991731</v>
      </c>
      <c r="F60" s="11">
        <v>1.4061563750272759</v>
      </c>
      <c r="G60" s="11">
        <v>9.8694048013545661</v>
      </c>
    </row>
    <row r="61" spans="1:7" x14ac:dyDescent="0.3">
      <c r="A61" s="3" t="s">
        <v>66</v>
      </c>
      <c r="B61" s="11">
        <v>-2.1141250487443326</v>
      </c>
      <c r="C61" s="11">
        <v>2.1946531819856099</v>
      </c>
      <c r="D61" s="11">
        <v>-0.73434957100420484</v>
      </c>
      <c r="E61" s="11">
        <v>-2.1272769809135608</v>
      </c>
      <c r="F61" s="11">
        <v>2.2177877479585448</v>
      </c>
      <c r="G61" s="11">
        <v>4.3042525746686513</v>
      </c>
    </row>
    <row r="62" spans="1:7" x14ac:dyDescent="0.3">
      <c r="A62" s="3" t="s">
        <v>67</v>
      </c>
      <c r="B62" s="11">
        <v>0.14154300705430989</v>
      </c>
      <c r="C62" s="11">
        <v>-2.2607282402975817</v>
      </c>
      <c r="D62" s="11">
        <v>-0.24310042718523095</v>
      </c>
      <c r="E62" s="11">
        <v>-1.4771720055078958</v>
      </c>
      <c r="F62" s="11">
        <v>-2.2799465797437799</v>
      </c>
      <c r="G62" s="11">
        <v>1.1194889978115967</v>
      </c>
    </row>
    <row r="63" spans="1:7" x14ac:dyDescent="0.3">
      <c r="A63" s="3" t="s">
        <v>68</v>
      </c>
      <c r="B63" s="11">
        <v>2.4233511864678903</v>
      </c>
      <c r="C63" s="11">
        <v>-2.8781043839992857</v>
      </c>
      <c r="D63" s="11">
        <v>4.7199247500320229</v>
      </c>
      <c r="E63" s="11">
        <v>-3.7028122268778851</v>
      </c>
      <c r="F63" s="11">
        <v>2.9946154583343416</v>
      </c>
      <c r="G63" s="11">
        <v>-14.781937977207827</v>
      </c>
    </row>
    <row r="64" spans="1:7" x14ac:dyDescent="0.3">
      <c r="A64" s="3" t="s">
        <v>69</v>
      </c>
      <c r="B64" s="11">
        <v>-5.4540541062242278</v>
      </c>
      <c r="C64" s="11">
        <v>-2.196834754653751</v>
      </c>
      <c r="D64" s="11">
        <v>-5.677872682333275</v>
      </c>
      <c r="E64" s="11">
        <v>-3.4975525269558991</v>
      </c>
      <c r="F64" s="11">
        <v>-0.97225233431262814</v>
      </c>
      <c r="G64" s="11">
        <v>-3.7091071678726202</v>
      </c>
    </row>
    <row r="65" spans="1:7" x14ac:dyDescent="0.3">
      <c r="A65" s="3" t="s">
        <v>70</v>
      </c>
      <c r="B65" s="11">
        <v>3.5168995495729201</v>
      </c>
      <c r="C65" s="11">
        <v>4.8345320708708641</v>
      </c>
      <c r="D65" s="11">
        <v>-3.8809371945358646</v>
      </c>
      <c r="E65" s="11">
        <v>5.6649636580439005</v>
      </c>
      <c r="F65" s="11">
        <v>3.1530614291678827</v>
      </c>
      <c r="G65" s="11">
        <v>2.7494458257170171</v>
      </c>
    </row>
    <row r="66" spans="1:7" x14ac:dyDescent="0.3">
      <c r="A66" s="3" t="s">
        <v>71</v>
      </c>
      <c r="B66" s="11">
        <v>7.5522707569986416</v>
      </c>
      <c r="C66" s="11">
        <v>4.039290754485358</v>
      </c>
      <c r="D66" s="11">
        <v>2.362461393398108</v>
      </c>
      <c r="E66" s="11">
        <v>0.75774484786876761</v>
      </c>
      <c r="F66" s="11">
        <v>5.5646253861130219</v>
      </c>
      <c r="G66" s="11">
        <v>2.3329572612473797</v>
      </c>
    </row>
    <row r="67" spans="1:7" x14ac:dyDescent="0.3">
      <c r="A67" s="3" t="s">
        <v>72</v>
      </c>
      <c r="B67" s="11">
        <v>6.3401044944112872</v>
      </c>
      <c r="C67" s="11">
        <v>0.56847784151381386</v>
      </c>
      <c r="D67" s="11">
        <v>1.6009558196249181</v>
      </c>
      <c r="E67" s="11">
        <v>4.9416286437667596</v>
      </c>
      <c r="F67" s="11">
        <v>4.8509238097795837</v>
      </c>
      <c r="G67" s="11">
        <v>5.1171194321391678</v>
      </c>
    </row>
    <row r="68" spans="1:7" x14ac:dyDescent="0.3">
      <c r="A68" s="3" t="s">
        <v>73</v>
      </c>
      <c r="B68" s="11">
        <v>5.6047889440028396</v>
      </c>
      <c r="C68" s="11">
        <v>3.24283319385653</v>
      </c>
      <c r="D68" s="11">
        <v>3.9112285098897934</v>
      </c>
      <c r="E68" s="11">
        <v>7.6494269051434225</v>
      </c>
      <c r="F68" s="11">
        <v>3.0633945151099842</v>
      </c>
      <c r="G68" s="11">
        <v>5.4791733811489207</v>
      </c>
    </row>
    <row r="69" spans="1:7" x14ac:dyDescent="0.3">
      <c r="A69" s="3" t="s">
        <v>74</v>
      </c>
      <c r="B69" s="11">
        <v>-0.36190559450484577</v>
      </c>
      <c r="C69" s="11">
        <v>-2.0844192375063129</v>
      </c>
      <c r="D69" s="11">
        <v>2.6749313159956949</v>
      </c>
      <c r="E69" s="11">
        <v>8.2024181667412357</v>
      </c>
      <c r="F69" s="11">
        <v>-2.5563361911966687</v>
      </c>
      <c r="G69" s="11">
        <v>2.5146970086034908</v>
      </c>
    </row>
    <row r="70" spans="1:7" x14ac:dyDescent="0.3">
      <c r="A70" s="3" t="s">
        <v>75</v>
      </c>
      <c r="B70" s="11">
        <v>4.6102662407566894</v>
      </c>
      <c r="C70" s="11">
        <v>1.3449822245451575</v>
      </c>
      <c r="D70" s="11">
        <v>5.7525496283248847</v>
      </c>
      <c r="E70" s="11">
        <v>-2.1259948826473123E-2</v>
      </c>
      <c r="F70" s="11">
        <v>8.7054471166059438E-2</v>
      </c>
      <c r="G70" s="11">
        <v>4.5324919360165028</v>
      </c>
    </row>
    <row r="71" spans="1:7" x14ac:dyDescent="0.3">
      <c r="A71" s="3" t="s">
        <v>76</v>
      </c>
      <c r="B71" s="11">
        <v>9.2220629468799081E-2</v>
      </c>
      <c r="C71" s="11">
        <v>-2.7933213031461341</v>
      </c>
      <c r="D71" s="11">
        <v>-3.1606392247474719</v>
      </c>
      <c r="E71" s="11">
        <v>-1.3808564130923455</v>
      </c>
      <c r="F71" s="11">
        <v>-9.7689760188324287E-2</v>
      </c>
      <c r="G71" s="11">
        <v>-3.0963268293901343</v>
      </c>
    </row>
    <row r="72" spans="1:7" x14ac:dyDescent="0.3">
      <c r="A72" s="3" t="s">
        <v>77</v>
      </c>
      <c r="B72" s="11">
        <v>2.6837805614445198</v>
      </c>
      <c r="C72" s="11">
        <v>-9.8471292716645106E-2</v>
      </c>
      <c r="D72" s="11">
        <v>-4.2665406693636141E-3</v>
      </c>
      <c r="E72" s="11">
        <v>3.2596123578103535</v>
      </c>
      <c r="F72" s="11">
        <v>1.0265242974522908</v>
      </c>
      <c r="G72" s="11">
        <v>0.51501091660332865</v>
      </c>
    </row>
    <row r="73" spans="1:7" x14ac:dyDescent="0.3">
      <c r="A73" s="3" t="s">
        <v>78</v>
      </c>
      <c r="B73" s="11">
        <v>7.709095717430853</v>
      </c>
      <c r="C73" s="11">
        <v>8.3737597597362381</v>
      </c>
      <c r="D73" s="11">
        <v>8.7353560709191171</v>
      </c>
      <c r="E73" s="11">
        <v>4.8701573081714757</v>
      </c>
      <c r="F73" s="11">
        <v>4.5131688374485508</v>
      </c>
      <c r="G73" s="11">
        <v>12.384196985829673</v>
      </c>
    </row>
    <row r="74" spans="1:7" x14ac:dyDescent="0.3">
      <c r="A74" s="3" t="s">
        <v>79</v>
      </c>
      <c r="B74" s="11">
        <v>3.9185578589415995</v>
      </c>
      <c r="C74" s="11">
        <v>-1.3273842686392909</v>
      </c>
      <c r="D74" s="11">
        <v>4.8328649688911121</v>
      </c>
      <c r="E74" s="11">
        <v>6.7315836906239834</v>
      </c>
      <c r="F74" s="11">
        <v>2.982884319913842</v>
      </c>
      <c r="G74" s="11">
        <v>3.4717505741703998</v>
      </c>
    </row>
    <row r="75" spans="1:7" x14ac:dyDescent="0.3">
      <c r="A75" s="3" t="s">
        <v>80</v>
      </c>
      <c r="B75" s="11">
        <v>7.7282198316382962</v>
      </c>
      <c r="C75" s="11">
        <v>-1.3660546359371037</v>
      </c>
      <c r="D75" s="11">
        <v>5.1584420786113307</v>
      </c>
      <c r="E75" s="11">
        <v>7.3412512522558844</v>
      </c>
      <c r="F75" s="11">
        <v>-3.8831584497123504</v>
      </c>
      <c r="G75" s="11">
        <v>2.3321161034192133</v>
      </c>
    </row>
    <row r="76" spans="1:7" x14ac:dyDescent="0.3">
      <c r="A76" s="3" t="s">
        <v>81</v>
      </c>
      <c r="B76" s="11">
        <v>3.9019211278098784</v>
      </c>
      <c r="C76" s="11">
        <v>1.9757887366433042</v>
      </c>
      <c r="D76" s="11">
        <v>-3.4045451628789554</v>
      </c>
      <c r="E76" s="11">
        <v>1.0135928037060904</v>
      </c>
      <c r="F76" s="11">
        <v>-0.54245160878286813</v>
      </c>
      <c r="G76" s="11">
        <v>1.2248912281014797</v>
      </c>
    </row>
    <row r="77" spans="1:7" x14ac:dyDescent="0.3">
      <c r="A77" s="3" t="s">
        <v>82</v>
      </c>
      <c r="B77" s="11">
        <v>4.8632786729440811</v>
      </c>
      <c r="C77" s="11">
        <v>2.434215819040523</v>
      </c>
      <c r="D77" s="11">
        <v>-6.1307587478317878</v>
      </c>
      <c r="E77" s="11">
        <v>0.16325324761883456</v>
      </c>
      <c r="F77" s="11">
        <v>-3.0741257242096091E-2</v>
      </c>
      <c r="G77" s="11">
        <v>10.052600911251135</v>
      </c>
    </row>
    <row r="78" spans="1:7" x14ac:dyDescent="0.3">
      <c r="A78" s="3" t="s">
        <v>83</v>
      </c>
      <c r="B78" s="11">
        <v>5.7996330813660384</v>
      </c>
      <c r="C78" s="11">
        <v>0.37600180673312505</v>
      </c>
      <c r="D78" s="11">
        <v>-2.7346192748448388</v>
      </c>
      <c r="E78" s="11">
        <v>0.68007234172548026</v>
      </c>
      <c r="F78" s="11">
        <v>2.3436886482909243</v>
      </c>
      <c r="G78" s="11">
        <v>6.3415139438737542</v>
      </c>
    </row>
    <row r="79" spans="1:7" x14ac:dyDescent="0.3">
      <c r="A79" s="3" t="s">
        <v>84</v>
      </c>
      <c r="B79" s="11">
        <v>8.1979120164885497</v>
      </c>
      <c r="C79" s="11">
        <v>4.7859644004847341</v>
      </c>
      <c r="D79" s="11">
        <v>3.9171433447271551</v>
      </c>
      <c r="E79" s="11">
        <v>2.5804500099750567</v>
      </c>
      <c r="F79" s="11">
        <v>3.176419037913436</v>
      </c>
      <c r="G79" s="11">
        <v>3.1595220689572616</v>
      </c>
    </row>
    <row r="80" spans="1:7" x14ac:dyDescent="0.3">
      <c r="A80" s="3" t="s">
        <v>85</v>
      </c>
      <c r="B80" s="11">
        <v>2.2188921402410093</v>
      </c>
      <c r="C80" s="11">
        <v>2.8829922981701435</v>
      </c>
      <c r="D80" s="11">
        <v>12.474094776603591</v>
      </c>
      <c r="E80" s="11">
        <v>5.9340968371652671</v>
      </c>
      <c r="F80" s="11">
        <v>5.7797883923676761</v>
      </c>
      <c r="G80" s="11">
        <v>-1.5892071738418219</v>
      </c>
    </row>
    <row r="81" spans="1:7" x14ac:dyDescent="0.3">
      <c r="A81" s="3" t="s">
        <v>86</v>
      </c>
      <c r="B81" s="11">
        <v>-0.19755335471227184</v>
      </c>
      <c r="C81" s="11">
        <v>-2.8246273116032441</v>
      </c>
      <c r="D81" s="11">
        <v>4.0001178345675497</v>
      </c>
      <c r="E81" s="11">
        <v>7.6996248886601197</v>
      </c>
      <c r="F81" s="11">
        <v>3.8425285087603269</v>
      </c>
      <c r="G81" s="11">
        <v>-4.5086572967937606</v>
      </c>
    </row>
    <row r="82" spans="1:7" x14ac:dyDescent="0.3">
      <c r="A82" s="3" t="s">
        <v>87</v>
      </c>
      <c r="B82" s="11">
        <v>2.6890578969238068</v>
      </c>
      <c r="C82" s="11">
        <v>3.4733154301510321</v>
      </c>
      <c r="D82" s="11">
        <v>4.8418368806562651</v>
      </c>
      <c r="E82" s="11">
        <v>4.1627140897990058</v>
      </c>
      <c r="F82" s="11">
        <v>3.9365583825700359</v>
      </c>
      <c r="G82" s="11">
        <v>2.6038669090370168</v>
      </c>
    </row>
    <row r="83" spans="1:7" x14ac:dyDescent="0.3">
      <c r="A83" s="3" t="s">
        <v>88</v>
      </c>
      <c r="B83" s="11">
        <v>-3.3714130477623958</v>
      </c>
      <c r="C83" s="11">
        <v>-1.683399111531406</v>
      </c>
      <c r="D83" s="11">
        <v>-0.95412405830847435</v>
      </c>
      <c r="E83" s="11">
        <v>-0.22086367463041451</v>
      </c>
      <c r="F83" s="11">
        <v>-5.3142899834410731</v>
      </c>
      <c r="G83" s="11">
        <v>2.3349677195132248</v>
      </c>
    </row>
    <row r="84" spans="1:7" x14ac:dyDescent="0.3">
      <c r="A84" s="3" t="s">
        <v>89</v>
      </c>
      <c r="B84" s="11">
        <v>-7.2449329435257948</v>
      </c>
      <c r="C84" s="11">
        <v>-0.20388794140666916</v>
      </c>
      <c r="D84" s="11">
        <v>0.46224528813662796</v>
      </c>
      <c r="E84" s="11">
        <v>-3.9767551362578639</v>
      </c>
      <c r="F84" s="11">
        <v>-6.2891510730778188</v>
      </c>
      <c r="G84" s="11">
        <v>-5.8139131529046617</v>
      </c>
    </row>
    <row r="85" spans="1:7" x14ac:dyDescent="0.3">
      <c r="A85" s="3" t="s">
        <v>90</v>
      </c>
      <c r="B85" s="11">
        <v>-0.4995680994292071</v>
      </c>
      <c r="C85" s="11">
        <v>1.8387235670542228</v>
      </c>
      <c r="D85" s="11">
        <v>5.3428665806007496</v>
      </c>
      <c r="E85" s="11">
        <v>1.1754415839346317</v>
      </c>
      <c r="F85" s="11">
        <v>-1.4413254085903482</v>
      </c>
      <c r="G85" s="11">
        <v>0.3373296737546671</v>
      </c>
    </row>
  </sheetData>
  <mergeCells count="1">
    <mergeCell ref="J2:K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D49BA-E97B-4492-8A2D-9C399B71D420}">
  <dimension ref="A1:N86"/>
  <sheetViews>
    <sheetView topLeftCell="A28" workbookViewId="0">
      <selection activeCell="A37" sqref="A1:J85"/>
    </sheetView>
  </sheetViews>
  <sheetFormatPr defaultRowHeight="14.4" x14ac:dyDescent="0.3"/>
  <cols>
    <col min="1" max="1" width="15.44140625" bestFit="1" customWidth="1"/>
    <col min="2" max="2" width="12.109375" customWidth="1"/>
    <col min="3" max="3" width="12.21875" customWidth="1"/>
    <col min="4" max="4" width="9.5546875" customWidth="1"/>
    <col min="5" max="5" width="14.5546875" customWidth="1"/>
    <col min="6" max="6" width="13" customWidth="1"/>
    <col min="7" max="7" width="12.88671875" customWidth="1"/>
    <col min="8" max="8" width="7.6640625" customWidth="1"/>
    <col min="9" max="9" width="19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111</v>
      </c>
      <c r="I1" t="s">
        <v>112</v>
      </c>
      <c r="J1" t="s">
        <v>113</v>
      </c>
    </row>
    <row r="2" spans="1:14" hidden="1" x14ac:dyDescent="0.3">
      <c r="A2" s="3" t="s">
        <v>7</v>
      </c>
      <c r="B2" s="4">
        <v>11771.863636363636</v>
      </c>
      <c r="C2" s="4">
        <v>26302.254545454543</v>
      </c>
      <c r="D2" s="4">
        <v>12345.977272727272</v>
      </c>
      <c r="E2" s="4">
        <v>9762.4045454545449</v>
      </c>
      <c r="F2" s="4">
        <v>27212.922727272726</v>
      </c>
      <c r="G2" s="4">
        <v>4096.0477272727276</v>
      </c>
      <c r="H2" s="4">
        <v>14.73363636</v>
      </c>
      <c r="I2" t="str">
        <f t="shared" ref="I2:I65" si="0">IF(H2&gt;(AVERAGE($H$3:$H$86) ), "Uncertainity","Normal")</f>
        <v>Normal</v>
      </c>
      <c r="J2" s="16">
        <f>IF(Table2[[#This Row],[VIX]]&gt;(AVERAGE(Table2[VIX]) ), 1,0)</f>
        <v>0</v>
      </c>
      <c r="M2">
        <f>IF(Table2[[#This Row],[VIX]]&gt;AVERAGE(Table2[VIX]),1,0)</f>
        <v>0</v>
      </c>
      <c r="N2" t="str">
        <f>IF(Table2[[#This Row],[VIX]]&gt;AVERAGE(Table2[VIX]),"Uncertain","Normal")</f>
        <v>Normal</v>
      </c>
    </row>
    <row r="3" spans="1:14" hidden="1" x14ac:dyDescent="0.3">
      <c r="A3" s="3" t="s">
        <v>8</v>
      </c>
      <c r="B3" s="4">
        <v>11191.047368421054</v>
      </c>
      <c r="C3" s="4">
        <v>25556.502631578951</v>
      </c>
      <c r="D3" s="4">
        <v>12628.915789473684</v>
      </c>
      <c r="E3" s="4">
        <v>9178.9394736842096</v>
      </c>
      <c r="F3" s="4">
        <v>26720.989473684207</v>
      </c>
      <c r="G3" s="4">
        <v>3976.1763157894734</v>
      </c>
      <c r="H3" s="4">
        <v>16.292894740000001</v>
      </c>
      <c r="I3" t="str">
        <f t="shared" si="0"/>
        <v>Normal</v>
      </c>
      <c r="J3" s="4">
        <f>IF(Table2[[#This Row],[VIX]]&gt;(AVERAGE(Table2[VIX]) ), 1,0)</f>
        <v>0</v>
      </c>
      <c r="M3">
        <f>IF(Table2[[#This Row],[VIX]]&gt;AVERAGE(Table2[VIX]),1,0)</f>
        <v>0</v>
      </c>
      <c r="N3" t="str">
        <f>IF(Table2[[#This Row],[VIX]]&gt;AVERAGE(Table2[VIX]),"Uncertain","Normal")</f>
        <v>Normal</v>
      </c>
    </row>
    <row r="4" spans="1:14" hidden="1" x14ac:dyDescent="0.3">
      <c r="A4" s="3" t="s">
        <v>9</v>
      </c>
      <c r="B4" s="4">
        <v>10889.752631578949</v>
      </c>
      <c r="C4" s="4">
        <v>24422.971052631583</v>
      </c>
      <c r="D4" s="4">
        <v>12658.276315789475</v>
      </c>
      <c r="E4" s="4">
        <v>8679.2052631578936</v>
      </c>
      <c r="F4" s="4">
        <v>26184.849999999995</v>
      </c>
      <c r="G4" s="4">
        <v>3675.8868421052625</v>
      </c>
      <c r="H4" s="4">
        <v>15.11684211</v>
      </c>
      <c r="I4" t="str">
        <f t="shared" si="0"/>
        <v>Normal</v>
      </c>
      <c r="J4" s="4">
        <f>IF(Table2[[#This Row],[VIX]]&gt;(AVERAGE(Table2[VIX]) ), 1,0)</f>
        <v>0</v>
      </c>
      <c r="M4">
        <f>IF(Table2[[#This Row],[VIX]]&gt;AVERAGE(Table2[VIX]),1,0)</f>
        <v>0</v>
      </c>
      <c r="N4" t="str">
        <f>IF(Table2[[#This Row],[VIX]]&gt;AVERAGE(Table2[VIX]),"Uncertain","Normal")</f>
        <v>Normal</v>
      </c>
    </row>
    <row r="5" spans="1:14" hidden="1" x14ac:dyDescent="0.3">
      <c r="A5" s="3" t="s">
        <v>10</v>
      </c>
      <c r="B5" s="4">
        <v>11429.723809523808</v>
      </c>
      <c r="C5" s="4">
        <v>24999.902380952379</v>
      </c>
      <c r="D5" s="4">
        <v>13215.090476190477</v>
      </c>
      <c r="E5" s="4">
        <v>8862.9452380952371</v>
      </c>
      <c r="F5" s="4">
        <v>27480.978571428575</v>
      </c>
      <c r="G5" s="4">
        <v>3710.5976190476199</v>
      </c>
      <c r="H5" s="4">
        <v>13.912023810000001</v>
      </c>
      <c r="I5" t="str">
        <f t="shared" si="0"/>
        <v>Normal</v>
      </c>
      <c r="J5" s="4">
        <f>IF(Table2[[#This Row],[VIX]]&gt;(AVERAGE(Table2[VIX]) ), 1,0)</f>
        <v>0</v>
      </c>
      <c r="M5">
        <f>IF(Table2[[#This Row],[VIX]]&gt;AVERAGE(Table2[VIX]),1,0)</f>
        <v>0</v>
      </c>
      <c r="N5" t="str">
        <f>IF(Table2[[#This Row],[VIX]]&gt;AVERAGE(Table2[VIX]),"Uncertain","Normal")</f>
        <v>Normal</v>
      </c>
    </row>
    <row r="6" spans="1:14" hidden="1" x14ac:dyDescent="0.3">
      <c r="A6" s="3" t="s">
        <v>11</v>
      </c>
      <c r="B6" s="4">
        <v>11147.31590909091</v>
      </c>
      <c r="C6" s="4">
        <v>26099.893181818188</v>
      </c>
      <c r="D6" s="4">
        <v>13524.504545454547</v>
      </c>
      <c r="E6" s="4">
        <v>8560.6863636363632</v>
      </c>
      <c r="F6" s="4">
        <v>28569.118181818179</v>
      </c>
      <c r="G6" s="4">
        <v>3628.7704545454549</v>
      </c>
      <c r="H6" s="4">
        <v>13.57659091</v>
      </c>
      <c r="I6" t="str">
        <f t="shared" si="0"/>
        <v>Normal</v>
      </c>
      <c r="J6" s="4">
        <f>IF(Table2[[#This Row],[VIX]]&gt;(AVERAGE(Table2[VIX]) ), 1,0)</f>
        <v>0</v>
      </c>
      <c r="M6">
        <f>IF(Table2[[#This Row],[VIX]]&gt;AVERAGE(Table2[VIX]),1,0)</f>
        <v>0</v>
      </c>
      <c r="N6" t="str">
        <f>IF(Table2[[#This Row],[VIX]]&gt;AVERAGE(Table2[VIX]),"Uncertain","Normal")</f>
        <v>Normal</v>
      </c>
    </row>
    <row r="7" spans="1:14" hidden="1" x14ac:dyDescent="0.3">
      <c r="A7" s="3" t="s">
        <v>12</v>
      </c>
      <c r="B7" s="4">
        <v>11057.300000000003</v>
      </c>
      <c r="C7" s="4">
        <v>26478.159523809521</v>
      </c>
      <c r="D7" s="4">
        <v>13813.552380952377</v>
      </c>
      <c r="E7" s="4">
        <v>8993.1999999999989</v>
      </c>
      <c r="F7" s="4">
        <v>28671.88571428572</v>
      </c>
      <c r="G7" s="4">
        <v>3514.4452380952371</v>
      </c>
      <c r="H7" s="4">
        <v>12.82</v>
      </c>
      <c r="I7" t="str">
        <f t="shared" si="0"/>
        <v>Normal</v>
      </c>
      <c r="J7" s="4">
        <f>IF(Table2[[#This Row],[VIX]]&gt;(AVERAGE(Table2[VIX]) ), 1,0)</f>
        <v>0</v>
      </c>
      <c r="M7">
        <f>IF(Table2[[#This Row],[VIX]]&gt;AVERAGE(Table2[VIX]),1,0)</f>
        <v>0</v>
      </c>
      <c r="N7" t="str">
        <f>IF(Table2[[#This Row],[VIX]]&gt;AVERAGE(Table2[VIX]),"Uncertain","Normal")</f>
        <v>Normal</v>
      </c>
    </row>
    <row r="8" spans="1:14" hidden="1" x14ac:dyDescent="0.3">
      <c r="A8" s="3" t="s">
        <v>13</v>
      </c>
      <c r="B8" s="4">
        <v>10911.03409090909</v>
      </c>
      <c r="C8" s="4">
        <v>26917.50454545454</v>
      </c>
      <c r="D8" s="4">
        <v>14422.772727272728</v>
      </c>
      <c r="E8" s="4">
        <v>9184.5136363636375</v>
      </c>
      <c r="F8" s="4">
        <v>29691.981818181815</v>
      </c>
      <c r="G8" s="4">
        <v>3272.0136363636357</v>
      </c>
      <c r="H8" s="4">
        <v>12.73079545</v>
      </c>
      <c r="I8" t="str">
        <f t="shared" si="0"/>
        <v>Normal</v>
      </c>
      <c r="J8" s="4">
        <f>IF(Table2[[#This Row],[VIX]]&gt;(AVERAGE(Table2[VIX]) ), 1,0)</f>
        <v>0</v>
      </c>
      <c r="M8">
        <f>IF(Table2[[#This Row],[VIX]]&gt;AVERAGE(Table2[VIX]),1,0)</f>
        <v>0</v>
      </c>
      <c r="N8" t="str">
        <f>IF(Table2[[#This Row],[VIX]]&gt;AVERAGE(Table2[VIX]),"Uncertain","Normal")</f>
        <v>Normal</v>
      </c>
    </row>
    <row r="9" spans="1:14" hidden="1" x14ac:dyDescent="0.3">
      <c r="A9" s="3" t="s">
        <v>14</v>
      </c>
      <c r="B9" s="4">
        <v>10893.947619047618</v>
      </c>
      <c r="C9" s="4">
        <v>28000.859523809522</v>
      </c>
      <c r="D9" s="4">
        <v>15034.68095238095</v>
      </c>
      <c r="E9" s="4">
        <v>9759.476190476189</v>
      </c>
      <c r="F9" s="4">
        <v>31925.004761904762</v>
      </c>
      <c r="G9" s="4">
        <v>3463.721428571429</v>
      </c>
      <c r="H9" s="4">
        <v>12.717380950000001</v>
      </c>
      <c r="I9" t="str">
        <f t="shared" si="0"/>
        <v>Normal</v>
      </c>
      <c r="J9" s="4">
        <f>IF(Table2[[#This Row],[VIX]]&gt;(AVERAGE(Table2[VIX]) ), 1,0)</f>
        <v>0</v>
      </c>
      <c r="M9">
        <f>IF(Table2[[#This Row],[VIX]]&gt;AVERAGE(Table2[VIX]),1,0)</f>
        <v>0</v>
      </c>
      <c r="N9" t="str">
        <f>IF(Table2[[#This Row],[VIX]]&gt;AVERAGE(Table2[VIX]),"Uncertain","Normal")</f>
        <v>Normal</v>
      </c>
    </row>
    <row r="10" spans="1:14" hidden="1" x14ac:dyDescent="0.3">
      <c r="A10" s="3" t="s">
        <v>15</v>
      </c>
      <c r="B10" s="4">
        <v>10505.508333333331</v>
      </c>
      <c r="C10" s="4">
        <v>26474.652777777777</v>
      </c>
      <c r="D10" s="4">
        <v>16026.202777777777</v>
      </c>
      <c r="E10" s="4">
        <v>10518.836111111112</v>
      </c>
      <c r="F10" s="4">
        <v>30624.961111111108</v>
      </c>
      <c r="G10" s="4">
        <v>3643.8222222222216</v>
      </c>
      <c r="H10" s="4">
        <v>15.03486111</v>
      </c>
      <c r="I10" t="str">
        <f t="shared" si="0"/>
        <v>Normal</v>
      </c>
      <c r="J10" s="4">
        <f>IF(Table2[[#This Row],[VIX]]&gt;(AVERAGE(Table2[VIX]) ), 1,0)</f>
        <v>0</v>
      </c>
      <c r="M10">
        <f>IF(Table2[[#This Row],[VIX]]&gt;AVERAGE(Table2[VIX]),1,0)</f>
        <v>0</v>
      </c>
      <c r="N10" t="str">
        <f>IF(Table2[[#This Row],[VIX]]&gt;AVERAGE(Table2[VIX]),"Uncertain","Normal")</f>
        <v>Normal</v>
      </c>
    </row>
    <row r="11" spans="1:14" x14ac:dyDescent="0.3">
      <c r="A11" s="3" t="s">
        <v>16</v>
      </c>
      <c r="B11" s="4">
        <v>8893.75476190476</v>
      </c>
      <c r="C11" s="4">
        <v>24993.985714285711</v>
      </c>
      <c r="D11" s="4">
        <v>14813.847619047618</v>
      </c>
      <c r="E11" s="4">
        <v>9730.6261904761905</v>
      </c>
      <c r="F11" s="4">
        <v>28362.659523809529</v>
      </c>
      <c r="G11" s="4">
        <v>3390.8095238095239</v>
      </c>
      <c r="H11" s="4">
        <v>19.152619049999998</v>
      </c>
      <c r="I11" t="str">
        <f t="shared" si="0"/>
        <v>Uncertainity</v>
      </c>
      <c r="J11" s="4">
        <f>IF(Table2[[#This Row],[VIX]]&gt;(AVERAGE(Table2[VIX]) ), 1,0)</f>
        <v>1</v>
      </c>
      <c r="M11">
        <f>IF(Table2[[#This Row],[VIX]]&gt;AVERAGE(Table2[VIX]),1,0)</f>
        <v>1</v>
      </c>
      <c r="N11" t="str">
        <f>IF(Table2[[#This Row],[VIX]]&gt;AVERAGE(Table2[VIX]),"Uncertain","Normal")</f>
        <v>Uncertain</v>
      </c>
    </row>
    <row r="12" spans="1:14" x14ac:dyDescent="0.3">
      <c r="A12" s="3" t="s">
        <v>17</v>
      </c>
      <c r="B12" s="4">
        <v>9132.0974999999999</v>
      </c>
      <c r="C12" s="4">
        <v>26062.377500000006</v>
      </c>
      <c r="D12" s="4">
        <v>14419.825000000001</v>
      </c>
      <c r="E12" s="4">
        <v>9452.2124999999996</v>
      </c>
      <c r="F12" s="4">
        <v>29194.719999999994</v>
      </c>
      <c r="G12" s="4">
        <v>3322.6875</v>
      </c>
      <c r="H12" s="4">
        <v>18.829000000000001</v>
      </c>
      <c r="I12" t="str">
        <f t="shared" si="0"/>
        <v>Uncertainity</v>
      </c>
      <c r="J12" s="4">
        <f>IF(Table2[[#This Row],[VIX]]&gt;(AVERAGE(Table2[VIX]) ), 1,0)</f>
        <v>1</v>
      </c>
      <c r="M12">
        <f>IF(Table2[[#This Row],[VIX]]&gt;AVERAGE(Table2[VIX]),1,0)</f>
        <v>1</v>
      </c>
      <c r="N12" t="str">
        <f>IF(Table2[[#This Row],[VIX]]&gt;AVERAGE(Table2[VIX]),"Uncertain","Normal")</f>
        <v>Uncertain</v>
      </c>
    </row>
    <row r="13" spans="1:14" hidden="1" x14ac:dyDescent="0.3">
      <c r="A13" s="3" t="s">
        <v>18</v>
      </c>
      <c r="B13" s="4">
        <v>9181.8050000000003</v>
      </c>
      <c r="C13" s="4">
        <v>26795.75</v>
      </c>
      <c r="D13" s="4">
        <v>14603.630000000001</v>
      </c>
      <c r="E13" s="4">
        <v>8874.9675000000025</v>
      </c>
      <c r="F13" s="4">
        <v>30182.837500000001</v>
      </c>
      <c r="G13" s="4">
        <v>3133.0150000000003</v>
      </c>
      <c r="H13" s="4">
        <v>16.531500000000001</v>
      </c>
      <c r="I13" t="str">
        <f t="shared" si="0"/>
        <v>Normal</v>
      </c>
      <c r="J13" s="4">
        <f>IF(Table2[[#This Row],[VIX]]&gt;(AVERAGE(Table2[VIX]) ), 1,0)</f>
        <v>0</v>
      </c>
      <c r="M13">
        <f>IF(Table2[[#This Row],[VIX]]&gt;AVERAGE(Table2[VIX]),1,0)</f>
        <v>0</v>
      </c>
      <c r="N13" t="str">
        <f>IF(Table2[[#This Row],[VIX]]&gt;AVERAGE(Table2[VIX]),"Uncertain","Normal")</f>
        <v>Normal</v>
      </c>
    </row>
    <row r="14" spans="1:14" hidden="1" x14ac:dyDescent="0.3">
      <c r="A14" s="3" t="s">
        <v>19</v>
      </c>
      <c r="B14" s="4">
        <v>8687.1152173913051</v>
      </c>
      <c r="C14" s="4">
        <v>27276.204347826086</v>
      </c>
      <c r="D14" s="4">
        <v>14700.771739130438</v>
      </c>
      <c r="E14" s="4">
        <v>8918.1630434782601</v>
      </c>
      <c r="F14" s="4">
        <v>30294.445652173901</v>
      </c>
      <c r="G14" s="4">
        <v>2947.5195652173911</v>
      </c>
      <c r="H14" s="4">
        <v>16.737065220000002</v>
      </c>
      <c r="I14" t="str">
        <f t="shared" si="0"/>
        <v>Normal</v>
      </c>
      <c r="J14" s="4">
        <f>IF(Table2[[#This Row],[VIX]]&gt;(AVERAGE(Table2[VIX]) ), 1,0)</f>
        <v>0</v>
      </c>
      <c r="M14">
        <f>IF(Table2[[#This Row],[VIX]]&gt;AVERAGE(Table2[VIX]),1,0)</f>
        <v>0</v>
      </c>
      <c r="N14" t="str">
        <f>IF(Table2[[#This Row],[VIX]]&gt;AVERAGE(Table2[VIX]),"Uncertain","Normal")</f>
        <v>Normal</v>
      </c>
    </row>
    <row r="15" spans="1:14" hidden="1" x14ac:dyDescent="0.3">
      <c r="A15" s="3" t="s">
        <v>20</v>
      </c>
      <c r="B15" s="4">
        <v>8320.2724999999991</v>
      </c>
      <c r="C15" s="4">
        <v>27021.644999999997</v>
      </c>
      <c r="D15" s="4">
        <v>15831.927499999996</v>
      </c>
      <c r="E15" s="4">
        <v>8893.7475000000013</v>
      </c>
      <c r="F15" s="4">
        <v>29496.792500000003</v>
      </c>
      <c r="G15" s="4">
        <v>2780.1875</v>
      </c>
      <c r="H15" s="4">
        <v>16.404</v>
      </c>
      <c r="I15" t="str">
        <f t="shared" si="0"/>
        <v>Normal</v>
      </c>
      <c r="J15" s="4">
        <f>IF(Table2[[#This Row],[VIX]]&gt;(AVERAGE(Table2[VIX]) ), 1,0)</f>
        <v>0</v>
      </c>
      <c r="M15">
        <f>IF(Table2[[#This Row],[VIX]]&gt;AVERAGE(Table2[VIX]),1,0)</f>
        <v>0</v>
      </c>
      <c r="N15" t="str">
        <f>IF(Table2[[#This Row],[VIX]]&gt;AVERAGE(Table2[VIX]),"Uncertain","Normal")</f>
        <v>Normal</v>
      </c>
    </row>
    <row r="16" spans="1:14" hidden="1" x14ac:dyDescent="0.3">
      <c r="A16" s="3" t="s">
        <v>21</v>
      </c>
      <c r="B16" s="4">
        <v>8530.1868421052641</v>
      </c>
      <c r="C16" s="4">
        <v>28955.702631578944</v>
      </c>
      <c r="D16" s="4">
        <v>15498.652631578949</v>
      </c>
      <c r="E16" s="4">
        <v>9231.7052631578936</v>
      </c>
      <c r="F16" s="4">
        <v>30090.557894736841</v>
      </c>
      <c r="G16" s="4">
        <v>2995.6973684210525</v>
      </c>
      <c r="H16" s="4">
        <v>15.989605259999999</v>
      </c>
      <c r="I16" t="str">
        <f t="shared" si="0"/>
        <v>Normal</v>
      </c>
      <c r="J16" s="4">
        <f>IF(Table2[[#This Row],[VIX]]&gt;(AVERAGE(Table2[VIX]) ), 1,0)</f>
        <v>0</v>
      </c>
      <c r="M16">
        <f>IF(Table2[[#This Row],[VIX]]&gt;AVERAGE(Table2[VIX]),1,0)</f>
        <v>0</v>
      </c>
      <c r="N16" t="str">
        <f>IF(Table2[[#This Row],[VIX]]&gt;AVERAGE(Table2[VIX]),"Uncertain","Normal")</f>
        <v>Normal</v>
      </c>
    </row>
    <row r="17" spans="1:14" x14ac:dyDescent="0.3">
      <c r="A17" s="3" t="s">
        <v>22</v>
      </c>
      <c r="B17" s="4">
        <v>8642.3315789473691</v>
      </c>
      <c r="C17" s="4">
        <v>29972.526315789473</v>
      </c>
      <c r="D17" s="4">
        <v>16101.181578947371</v>
      </c>
      <c r="E17" s="4">
        <v>9427.8684210526353</v>
      </c>
      <c r="F17" s="4">
        <v>30270.997368421064</v>
      </c>
      <c r="G17" s="4">
        <v>3085.8973684210523</v>
      </c>
      <c r="H17" s="4">
        <v>21.075263159999999</v>
      </c>
      <c r="I17" t="str">
        <f t="shared" si="0"/>
        <v>Uncertainity</v>
      </c>
      <c r="J17" s="4">
        <f>IF(Table2[[#This Row],[VIX]]&gt;(AVERAGE(Table2[VIX]) ), 1,0)</f>
        <v>1</v>
      </c>
      <c r="M17">
        <f>IF(Table2[[#This Row],[VIX]]&gt;AVERAGE(Table2[VIX]),1,0)</f>
        <v>1</v>
      </c>
      <c r="N17" t="str">
        <f>IF(Table2[[#This Row],[VIX]]&gt;AVERAGE(Table2[VIX]),"Uncertain","Normal")</f>
        <v>Uncertain</v>
      </c>
    </row>
    <row r="18" spans="1:14" x14ac:dyDescent="0.3">
      <c r="A18" s="3" t="s">
        <v>23</v>
      </c>
      <c r="B18" s="4">
        <v>8196.363636363636</v>
      </c>
      <c r="C18" s="4">
        <v>30025.913636363635</v>
      </c>
      <c r="D18" s="4">
        <v>15909.645454545454</v>
      </c>
      <c r="E18" s="4">
        <v>8819.447727272729</v>
      </c>
      <c r="F18" s="4">
        <v>29770.002272727274</v>
      </c>
      <c r="G18" s="4">
        <v>2910.693181818182</v>
      </c>
      <c r="H18" s="4">
        <v>23.216249999999999</v>
      </c>
      <c r="I18" t="str">
        <f t="shared" si="0"/>
        <v>Uncertainity</v>
      </c>
      <c r="J18" s="4">
        <f>IF(Table2[[#This Row],[VIX]]&gt;(AVERAGE(Table2[VIX]) ), 1,0)</f>
        <v>1</v>
      </c>
      <c r="M18">
        <f>IF(Table2[[#This Row],[VIX]]&gt;AVERAGE(Table2[VIX]),1,0)</f>
        <v>1</v>
      </c>
      <c r="N18" t="str">
        <f>IF(Table2[[#This Row],[VIX]]&gt;AVERAGE(Table2[VIX]),"Uncertain","Normal")</f>
        <v>Uncertain</v>
      </c>
    </row>
    <row r="19" spans="1:14" hidden="1" x14ac:dyDescent="0.3">
      <c r="A19" s="3" t="s">
        <v>24</v>
      </c>
      <c r="B19" s="4">
        <v>8034.4315789473694</v>
      </c>
      <c r="C19" s="4">
        <v>30916.010526315793</v>
      </c>
      <c r="D19" s="4">
        <v>16220.023684210528</v>
      </c>
      <c r="E19" s="4">
        <v>8189.9000000000005</v>
      </c>
      <c r="F19" s="4">
        <v>29862.986842105263</v>
      </c>
      <c r="G19" s="4">
        <v>2937.2605263157893</v>
      </c>
      <c r="H19" s="4">
        <v>14.75210526</v>
      </c>
      <c r="I19" t="str">
        <f t="shared" si="0"/>
        <v>Normal</v>
      </c>
      <c r="J19" s="4">
        <f>IF(Table2[[#This Row],[VIX]]&gt;(AVERAGE(Table2[VIX]) ), 1,0)</f>
        <v>0</v>
      </c>
      <c r="M19">
        <f>IF(Table2[[#This Row],[VIX]]&gt;AVERAGE(Table2[VIX]),1,0)</f>
        <v>0</v>
      </c>
      <c r="N19" t="str">
        <f>IF(Table2[[#This Row],[VIX]]&gt;AVERAGE(Table2[VIX]),"Uncertain","Normal")</f>
        <v>Normal</v>
      </c>
    </row>
    <row r="20" spans="1:14" hidden="1" x14ac:dyDescent="0.3">
      <c r="A20" s="3" t="s">
        <v>25</v>
      </c>
      <c r="B20" s="4">
        <v>7471.7673913043473</v>
      </c>
      <c r="C20" s="4">
        <v>30202.126086956523</v>
      </c>
      <c r="D20" s="4">
        <v>15526.95652173913</v>
      </c>
      <c r="E20" s="4">
        <v>8168.2869565217397</v>
      </c>
      <c r="F20" s="4">
        <v>29303.228260869564</v>
      </c>
      <c r="G20" s="4">
        <v>2789.9891304347821</v>
      </c>
      <c r="H20" s="4">
        <v>12.985217390000001</v>
      </c>
      <c r="I20" t="str">
        <f t="shared" si="0"/>
        <v>Normal</v>
      </c>
      <c r="J20" s="4">
        <f>IF(Table2[[#This Row],[VIX]]&gt;(AVERAGE(Table2[VIX]) ), 1,0)</f>
        <v>0</v>
      </c>
      <c r="M20">
        <f>IF(Table2[[#This Row],[VIX]]&gt;AVERAGE(Table2[VIX]),1,0)</f>
        <v>0</v>
      </c>
      <c r="N20" t="str">
        <f>IF(Table2[[#This Row],[VIX]]&gt;AVERAGE(Table2[VIX]),"Uncertain","Normal")</f>
        <v>Normal</v>
      </c>
    </row>
    <row r="21" spans="1:14" hidden="1" x14ac:dyDescent="0.3">
      <c r="A21" s="3" t="s">
        <v>26</v>
      </c>
      <c r="B21" s="4">
        <v>6966.2124999999996</v>
      </c>
      <c r="C21" s="4">
        <v>27847.3675</v>
      </c>
      <c r="D21" s="4">
        <v>15634.809999999998</v>
      </c>
      <c r="E21" s="4">
        <v>7897.5325000000012</v>
      </c>
      <c r="F21" s="4">
        <v>28810.324999999993</v>
      </c>
      <c r="G21" s="4">
        <v>2352.2025000000003</v>
      </c>
      <c r="H21" s="4">
        <v>16.486000000000001</v>
      </c>
      <c r="I21" t="str">
        <f t="shared" si="0"/>
        <v>Normal</v>
      </c>
      <c r="J21" s="4">
        <f>IF(Table2[[#This Row],[VIX]]&gt;(AVERAGE(Table2[VIX]) ), 1,0)</f>
        <v>0</v>
      </c>
      <c r="M21">
        <f>IF(Table2[[#This Row],[VIX]]&gt;AVERAGE(Table2[VIX]),1,0)</f>
        <v>0</v>
      </c>
      <c r="N21" t="str">
        <f>IF(Table2[[#This Row],[VIX]]&gt;AVERAGE(Table2[VIX]),"Uncertain","Normal")</f>
        <v>Normal</v>
      </c>
    </row>
    <row r="22" spans="1:14" hidden="1" x14ac:dyDescent="0.3">
      <c r="A22" s="3" t="s">
        <v>27</v>
      </c>
      <c r="B22" s="4">
        <v>7292.1578947368425</v>
      </c>
      <c r="C22" s="4">
        <v>28238.423684210527</v>
      </c>
      <c r="D22" s="4">
        <v>15628.602631578942</v>
      </c>
      <c r="E22" s="4">
        <v>8019.5184210526304</v>
      </c>
      <c r="F22" s="4">
        <v>29513.755263157895</v>
      </c>
      <c r="G22" s="4">
        <v>2405.2447368421049</v>
      </c>
      <c r="H22" s="4">
        <v>16.02</v>
      </c>
      <c r="I22" t="str">
        <f t="shared" si="0"/>
        <v>Normal</v>
      </c>
      <c r="J22" s="4">
        <f>IF(Table2[[#This Row],[VIX]]&gt;(AVERAGE(Table2[VIX]) ), 1,0)</f>
        <v>0</v>
      </c>
      <c r="M22">
        <f>IF(Table2[[#This Row],[VIX]]&gt;AVERAGE(Table2[VIX]),1,0)</f>
        <v>0</v>
      </c>
      <c r="N22" t="str">
        <f>IF(Table2[[#This Row],[VIX]]&gt;AVERAGE(Table2[VIX]),"Uncertain","Normal")</f>
        <v>Normal</v>
      </c>
    </row>
    <row r="23" spans="1:14" hidden="1" x14ac:dyDescent="0.3">
      <c r="A23" s="3" t="s">
        <v>28</v>
      </c>
      <c r="B23" s="4">
        <v>7804.9475000000002</v>
      </c>
      <c r="C23" s="4">
        <v>28884.204999999998</v>
      </c>
      <c r="D23" s="4">
        <v>15176.397499999997</v>
      </c>
      <c r="E23" s="4">
        <v>7597.7624999999998</v>
      </c>
      <c r="F23" s="4">
        <v>31178.340000000004</v>
      </c>
      <c r="G23" s="4">
        <v>2395.3374999999996</v>
      </c>
      <c r="H23" s="4">
        <v>16.684000000000001</v>
      </c>
      <c r="I23" t="str">
        <f t="shared" si="0"/>
        <v>Normal</v>
      </c>
      <c r="J23" s="4">
        <f>IF(Table2[[#This Row],[VIX]]&gt;(AVERAGE(Table2[VIX]) ), 1,0)</f>
        <v>0</v>
      </c>
      <c r="M23">
        <f>IF(Table2[[#This Row],[VIX]]&gt;AVERAGE(Table2[VIX]),1,0)</f>
        <v>0</v>
      </c>
      <c r="N23" t="str">
        <f>IF(Table2[[#This Row],[VIX]]&gt;AVERAGE(Table2[VIX]),"Uncertain","Normal")</f>
        <v>Normal</v>
      </c>
    </row>
    <row r="24" spans="1:14" hidden="1" x14ac:dyDescent="0.3">
      <c r="A24" s="3" t="s">
        <v>29</v>
      </c>
      <c r="B24" s="4">
        <v>8165.0699999999979</v>
      </c>
      <c r="C24" s="4">
        <v>31077.705000000005</v>
      </c>
      <c r="D24" s="4">
        <v>15289.347499999998</v>
      </c>
      <c r="E24" s="4">
        <v>8038.3974999999991</v>
      </c>
      <c r="F24" s="4">
        <v>31529.499999999993</v>
      </c>
      <c r="G24" s="4">
        <v>2577.0149999999999</v>
      </c>
      <c r="H24" s="4">
        <v>15.316125</v>
      </c>
      <c r="I24" t="str">
        <f t="shared" si="0"/>
        <v>Normal</v>
      </c>
      <c r="J24" s="4">
        <f>IF(Table2[[#This Row],[VIX]]&gt;(AVERAGE(Table2[VIX]) ), 1,0)</f>
        <v>0</v>
      </c>
      <c r="M24">
        <f>IF(Table2[[#This Row],[VIX]]&gt;AVERAGE(Table2[VIX]),1,0)</f>
        <v>0</v>
      </c>
      <c r="N24" t="str">
        <f>IF(Table2[[#This Row],[VIX]]&gt;AVERAGE(Table2[VIX]),"Uncertain","Normal")</f>
        <v>Normal</v>
      </c>
    </row>
    <row r="25" spans="1:14" hidden="1" x14ac:dyDescent="0.3">
      <c r="A25" s="3" t="s">
        <v>30</v>
      </c>
      <c r="B25" s="4">
        <v>8042.4214285714279</v>
      </c>
      <c r="C25" s="4">
        <v>31926.85476190476</v>
      </c>
      <c r="D25" s="4">
        <v>15424.971428571427</v>
      </c>
      <c r="E25" s="4">
        <v>8096.6142857142859</v>
      </c>
      <c r="F25" s="4">
        <v>30334.511904761912</v>
      </c>
      <c r="G25" s="4">
        <v>2643.9571428571426</v>
      </c>
      <c r="H25" s="4">
        <v>12.836547619999999</v>
      </c>
      <c r="I25" t="str">
        <f t="shared" si="0"/>
        <v>Normal</v>
      </c>
      <c r="J25" s="4">
        <f>IF(Table2[[#This Row],[VIX]]&gt;(AVERAGE(Table2[VIX]) ), 1,0)</f>
        <v>0</v>
      </c>
      <c r="M25">
        <f>IF(Table2[[#This Row],[VIX]]&gt;AVERAGE(Table2[VIX]),1,0)</f>
        <v>0</v>
      </c>
      <c r="N25" t="str">
        <f>IF(Table2[[#This Row],[VIX]]&gt;AVERAGE(Table2[VIX]),"Uncertain","Normal")</f>
        <v>Normal</v>
      </c>
    </row>
    <row r="26" spans="1:14" hidden="1" x14ac:dyDescent="0.3">
      <c r="A26" s="3" t="s">
        <v>31</v>
      </c>
      <c r="B26" s="4">
        <v>8211.8000000000011</v>
      </c>
      <c r="C26" s="4">
        <v>31446.391304347835</v>
      </c>
      <c r="D26" s="4">
        <v>16177.997826086958</v>
      </c>
      <c r="E26" s="4">
        <v>8254.1456521739128</v>
      </c>
      <c r="F26" s="4">
        <v>30791.56739130435</v>
      </c>
      <c r="G26" s="4">
        <v>2786.9630434782612</v>
      </c>
      <c r="H26" s="4">
        <v>14.942826086956501</v>
      </c>
      <c r="I26" t="str">
        <f t="shared" si="0"/>
        <v>Normal</v>
      </c>
      <c r="J26" s="4">
        <f>IF(Table2[[#This Row],[VIX]]&gt;(AVERAGE(Table2[VIX]) ), 1,0)</f>
        <v>0</v>
      </c>
      <c r="M26">
        <f>IF(Table2[[#This Row],[VIX]]&gt;AVERAGE(Table2[VIX]),1,0)</f>
        <v>0</v>
      </c>
      <c r="N26" t="str">
        <f>IF(Table2[[#This Row],[VIX]]&gt;AVERAGE(Table2[VIX]),"Uncertain","Normal")</f>
        <v>Normal</v>
      </c>
    </row>
    <row r="27" spans="1:14" hidden="1" x14ac:dyDescent="0.3">
      <c r="A27" s="3" t="s">
        <v>32</v>
      </c>
      <c r="B27" s="4">
        <v>7733.2824999999984</v>
      </c>
      <c r="C27" s="4">
        <v>30675.427500000002</v>
      </c>
      <c r="D27" s="4">
        <v>16411.647499999999</v>
      </c>
      <c r="E27" s="4">
        <v>8234.0875000000015</v>
      </c>
      <c r="F27" s="4">
        <v>30468.122500000005</v>
      </c>
      <c r="G27" s="4">
        <v>2561.8450000000003</v>
      </c>
      <c r="H27" s="4">
        <v>15.359874999999999</v>
      </c>
      <c r="I27" t="str">
        <f t="shared" si="0"/>
        <v>Normal</v>
      </c>
      <c r="J27" s="4">
        <f>IF(Table2[[#This Row],[VIX]]&gt;(AVERAGE(Table2[VIX]) ), 1,0)</f>
        <v>0</v>
      </c>
      <c r="M27">
        <f>IF(Table2[[#This Row],[VIX]]&gt;AVERAGE(Table2[VIX]),1,0)</f>
        <v>0</v>
      </c>
      <c r="N27" t="str">
        <f>IF(Table2[[#This Row],[VIX]]&gt;AVERAGE(Table2[VIX]),"Uncertain","Normal")</f>
        <v>Normal</v>
      </c>
    </row>
    <row r="28" spans="1:14" x14ac:dyDescent="0.3">
      <c r="A28" s="3" t="s">
        <v>33</v>
      </c>
      <c r="B28" s="4">
        <v>5781.8238095238084</v>
      </c>
      <c r="C28" s="4">
        <v>22936.040476190479</v>
      </c>
      <c r="D28" s="4">
        <v>13356.3</v>
      </c>
      <c r="E28" s="4">
        <v>7396.2095238095253</v>
      </c>
      <c r="F28" s="4">
        <v>26407.204761904763</v>
      </c>
      <c r="G28" s="4">
        <v>1814.5761904761905</v>
      </c>
      <c r="H28" s="4">
        <v>53.063571428571429</v>
      </c>
      <c r="I28" t="str">
        <f t="shared" si="0"/>
        <v>Uncertainity</v>
      </c>
      <c r="J28" s="4">
        <f>IF(Table2[[#This Row],[VIX]]&gt;(AVERAGE(Table2[VIX]) ), 1,0)</f>
        <v>1</v>
      </c>
      <c r="M28">
        <f>IF(Table2[[#This Row],[VIX]]&gt;AVERAGE(Table2[VIX]),1,0)</f>
        <v>1</v>
      </c>
      <c r="N28" t="str">
        <f>IF(Table2[[#This Row],[VIX]]&gt;AVERAGE(Table2[VIX]),"Uncertain","Normal")</f>
        <v>Uncertain</v>
      </c>
    </row>
    <row r="29" spans="1:14" x14ac:dyDescent="0.3">
      <c r="A29" s="3" t="s">
        <v>34</v>
      </c>
      <c r="B29" s="4">
        <v>5335.9111111111115</v>
      </c>
      <c r="C29" s="4">
        <v>19715.116666666665</v>
      </c>
      <c r="D29" s="4">
        <v>12750.766666666666</v>
      </c>
      <c r="E29" s="4">
        <v>9097.2527777777796</v>
      </c>
      <c r="F29" s="4">
        <v>28622.122222222224</v>
      </c>
      <c r="G29" s="4">
        <v>1693.3083333333334</v>
      </c>
      <c r="H29" s="4">
        <v>45.003749999999997</v>
      </c>
      <c r="I29" t="str">
        <f t="shared" si="0"/>
        <v>Uncertainity</v>
      </c>
      <c r="J29" s="4">
        <f>IF(Table2[[#This Row],[VIX]]&gt;(AVERAGE(Table2[VIX]) ), 1,0)</f>
        <v>1</v>
      </c>
      <c r="M29">
        <f>IF(Table2[[#This Row],[VIX]]&gt;AVERAGE(Table2[VIX]),1,0)</f>
        <v>1</v>
      </c>
      <c r="N29" t="str">
        <f>IF(Table2[[#This Row],[VIX]]&gt;AVERAGE(Table2[VIX]),"Uncertain","Normal")</f>
        <v>Uncertain</v>
      </c>
    </row>
    <row r="30" spans="1:14" x14ac:dyDescent="0.3">
      <c r="A30" s="3" t="s">
        <v>35</v>
      </c>
      <c r="B30" s="4">
        <v>5702.6052631578941</v>
      </c>
      <c r="C30" s="4">
        <v>18707.215789473685</v>
      </c>
      <c r="D30" s="4">
        <v>13569.336842105264</v>
      </c>
      <c r="E30" s="4">
        <v>9443.1026315789477</v>
      </c>
      <c r="F30" s="4">
        <v>27325.952631578948</v>
      </c>
      <c r="G30" s="4">
        <v>1732.8973684210528</v>
      </c>
      <c r="H30" s="4">
        <v>36.982105263157905</v>
      </c>
      <c r="I30" t="str">
        <f t="shared" si="0"/>
        <v>Uncertainity</v>
      </c>
      <c r="J30" s="4">
        <f>IF(Table2[[#This Row],[VIX]]&gt;(AVERAGE(Table2[VIX]) ), 1,0)</f>
        <v>1</v>
      </c>
      <c r="M30">
        <f>IF(Table2[[#This Row],[VIX]]&gt;AVERAGE(Table2[VIX]),1,0)</f>
        <v>1</v>
      </c>
      <c r="N30" t="str">
        <f>IF(Table2[[#This Row],[VIX]]&gt;AVERAGE(Table2[VIX]),"Uncertain","Normal")</f>
        <v>Uncertain</v>
      </c>
    </row>
    <row r="31" spans="1:14" x14ac:dyDescent="0.3">
      <c r="A31" s="3" t="s">
        <v>36</v>
      </c>
      <c r="B31" s="4">
        <v>6582.5818181818177</v>
      </c>
      <c r="C31" s="4">
        <v>20953.67954545455</v>
      </c>
      <c r="D31" s="4">
        <v>14585.154545454547</v>
      </c>
      <c r="E31" s="4">
        <v>10161.393181818181</v>
      </c>
      <c r="F31" s="4">
        <v>29321.377272727281</v>
      </c>
      <c r="G31" s="4">
        <v>1997.1386363636361</v>
      </c>
      <c r="H31" s="4">
        <v>30.23761363636363</v>
      </c>
      <c r="I31" t="str">
        <f t="shared" si="0"/>
        <v>Uncertainity</v>
      </c>
      <c r="J31" s="4">
        <f>IF(Table2[[#This Row],[VIX]]&gt;(AVERAGE(Table2[VIX]) ), 1,0)</f>
        <v>1</v>
      </c>
      <c r="M31">
        <f>IF(Table2[[#This Row],[VIX]]&gt;AVERAGE(Table2[VIX]),1,0)</f>
        <v>1</v>
      </c>
      <c r="N31" t="str">
        <f>IF(Table2[[#This Row],[VIX]]&gt;AVERAGE(Table2[VIX]),"Uncertain","Normal")</f>
        <v>Uncertain</v>
      </c>
    </row>
    <row r="32" spans="1:14" x14ac:dyDescent="0.3">
      <c r="A32" s="3" t="s">
        <v>37</v>
      </c>
      <c r="B32" s="4">
        <v>7127.619565217391</v>
      </c>
      <c r="C32" s="4">
        <v>22171.15</v>
      </c>
      <c r="D32" s="4">
        <v>16532.015217391305</v>
      </c>
      <c r="E32" s="4">
        <v>10293.669565217393</v>
      </c>
      <c r="F32" s="4">
        <v>30898.141304347821</v>
      </c>
      <c r="G32" s="4">
        <v>2084.9456521739135</v>
      </c>
      <c r="H32" s="4">
        <v>25.184347826086952</v>
      </c>
      <c r="I32" t="str">
        <f t="shared" si="0"/>
        <v>Uncertainity</v>
      </c>
      <c r="J32" s="4">
        <f>IF(Table2[[#This Row],[VIX]]&gt;(AVERAGE(Table2[VIX]) ), 1,0)</f>
        <v>1</v>
      </c>
      <c r="M32">
        <f>IF(Table2[[#This Row],[VIX]]&gt;AVERAGE(Table2[VIX]),1,0)</f>
        <v>1</v>
      </c>
      <c r="N32" t="str">
        <f>IF(Table2[[#This Row],[VIX]]&gt;AVERAGE(Table2[VIX]),"Uncertain","Normal")</f>
        <v>Uncertain</v>
      </c>
    </row>
    <row r="33" spans="1:14" x14ac:dyDescent="0.3">
      <c r="A33" s="3" t="s">
        <v>38</v>
      </c>
      <c r="B33" s="4">
        <v>7785.3738095238114</v>
      </c>
      <c r="C33" s="4">
        <v>22352.885714285712</v>
      </c>
      <c r="D33" s="4">
        <v>18067.207142857143</v>
      </c>
      <c r="E33" s="4">
        <v>11663.678571428572</v>
      </c>
      <c r="F33" s="4">
        <v>31371.952380952385</v>
      </c>
      <c r="G33" s="4">
        <v>2411.0047619047623</v>
      </c>
      <c r="H33" s="4">
        <v>21.210714285714285</v>
      </c>
      <c r="I33" t="str">
        <f t="shared" si="0"/>
        <v>Uncertainity</v>
      </c>
      <c r="J33" s="4">
        <f>IF(Table2[[#This Row],[VIX]]&gt;(AVERAGE(Table2[VIX]) ), 1,0)</f>
        <v>1</v>
      </c>
      <c r="M33">
        <f>IF(Table2[[#This Row],[VIX]]&gt;AVERAGE(Table2[VIX]),1,0)</f>
        <v>1</v>
      </c>
      <c r="N33" t="str">
        <f>IF(Table2[[#This Row],[VIX]]&gt;AVERAGE(Table2[VIX]),"Uncertain","Normal")</f>
        <v>Uncertain</v>
      </c>
    </row>
    <row r="34" spans="1:14" x14ac:dyDescent="0.3">
      <c r="A34" s="3" t="s">
        <v>39</v>
      </c>
      <c r="B34" s="4">
        <v>7914.4409090909094</v>
      </c>
      <c r="C34" s="4">
        <v>22194.343181818178</v>
      </c>
      <c r="D34" s="4">
        <v>19104.24090909091</v>
      </c>
      <c r="E34" s="4">
        <v>11708.975000000002</v>
      </c>
      <c r="F34" s="4">
        <v>30357.520454545451</v>
      </c>
      <c r="G34" s="4">
        <v>2345.1772727272723</v>
      </c>
      <c r="H34" s="4">
        <v>21.078977272727272</v>
      </c>
      <c r="I34" t="str">
        <f t="shared" si="0"/>
        <v>Uncertainity</v>
      </c>
      <c r="J34" s="4">
        <f>IF(Table2[[#This Row],[VIX]]&gt;(AVERAGE(Table2[VIX]) ), 1,0)</f>
        <v>1</v>
      </c>
      <c r="M34">
        <f>IF(Table2[[#This Row],[VIX]]&gt;AVERAGE(Table2[VIX]),1,0)</f>
        <v>1</v>
      </c>
      <c r="N34" t="str">
        <f>IF(Table2[[#This Row],[VIX]]&gt;AVERAGE(Table2[VIX]),"Uncertain","Normal")</f>
        <v>Uncertain</v>
      </c>
    </row>
    <row r="35" spans="1:14" x14ac:dyDescent="0.3">
      <c r="A35" s="3" t="s">
        <v>40</v>
      </c>
      <c r="B35" s="4">
        <v>7975.0785714285739</v>
      </c>
      <c r="C35" s="4">
        <v>23733.585714285713</v>
      </c>
      <c r="D35" s="4">
        <v>21374.609523809522</v>
      </c>
      <c r="E35" s="4">
        <v>11871.916666666668</v>
      </c>
      <c r="F35" s="4">
        <v>29896.428571428572</v>
      </c>
      <c r="G35" s="4">
        <v>2319.6976190476184</v>
      </c>
      <c r="H35" s="4">
        <v>21.5825</v>
      </c>
      <c r="I35" t="str">
        <f t="shared" si="0"/>
        <v>Uncertainity</v>
      </c>
      <c r="J35" s="4">
        <f>IF(Table2[[#This Row],[VIX]]&gt;(AVERAGE(Table2[VIX]) ), 1,0)</f>
        <v>1</v>
      </c>
      <c r="M35">
        <f>IF(Table2[[#This Row],[VIX]]&gt;AVERAGE(Table2[VIX]),1,0)</f>
        <v>1</v>
      </c>
      <c r="N35" t="str">
        <f>IF(Table2[[#This Row],[VIX]]&gt;AVERAGE(Table2[VIX]),"Uncertain","Normal")</f>
        <v>Uncertain</v>
      </c>
    </row>
    <row r="36" spans="1:14" x14ac:dyDescent="0.3">
      <c r="A36" s="3" t="s">
        <v>41</v>
      </c>
      <c r="B36" s="4">
        <v>8366.09</v>
      </c>
      <c r="C36" s="4">
        <v>28198.484999999997</v>
      </c>
      <c r="D36" s="4">
        <v>21433.0975</v>
      </c>
      <c r="E36" s="4">
        <v>11739.495000000003</v>
      </c>
      <c r="F36" s="4">
        <v>30877.464999999997</v>
      </c>
      <c r="G36" s="4">
        <v>2661.915</v>
      </c>
      <c r="H36" s="4">
        <v>21.011000000000003</v>
      </c>
      <c r="I36" t="str">
        <f t="shared" si="0"/>
        <v>Uncertainity</v>
      </c>
      <c r="J36" s="4">
        <f>IF(Table2[[#This Row],[VIX]]&gt;(AVERAGE(Table2[VIX]) ), 1,0)</f>
        <v>1</v>
      </c>
      <c r="M36">
        <f>IF(Table2[[#This Row],[VIX]]&gt;AVERAGE(Table2[VIX]),1,0)</f>
        <v>1</v>
      </c>
      <c r="N36" t="str">
        <f>IF(Table2[[#This Row],[VIX]]&gt;AVERAGE(Table2[VIX]),"Uncertain","Normal")</f>
        <v>Uncertain</v>
      </c>
    </row>
    <row r="37" spans="1:14" x14ac:dyDescent="0.3">
      <c r="A37" s="3" t="s">
        <v>42</v>
      </c>
      <c r="B37" s="4">
        <v>9122.8568181818191</v>
      </c>
      <c r="C37" s="4">
        <v>30405.259090909094</v>
      </c>
      <c r="D37" s="4">
        <v>23108.593181818178</v>
      </c>
      <c r="E37" s="4">
        <v>12634.770454545454</v>
      </c>
      <c r="F37" s="4">
        <v>33507.277272727275</v>
      </c>
      <c r="G37" s="4">
        <v>3153.4795454545456</v>
      </c>
      <c r="H37" s="4">
        <v>19.771363636363638</v>
      </c>
      <c r="I37" t="str">
        <f t="shared" si="0"/>
        <v>Uncertainity</v>
      </c>
      <c r="J37" s="4">
        <f>IF(Table2[[#This Row],[VIX]]&gt;(AVERAGE(Table2[VIX]) ), 1,0)</f>
        <v>1</v>
      </c>
      <c r="M37">
        <f>IF(Table2[[#This Row],[VIX]]&gt;AVERAGE(Table2[VIX]),1,0)</f>
        <v>1</v>
      </c>
      <c r="N37" t="str">
        <f>IF(Table2[[#This Row],[VIX]]&gt;AVERAGE(Table2[VIX]),"Uncertain","Normal")</f>
        <v>Uncertain</v>
      </c>
    </row>
    <row r="38" spans="1:14" x14ac:dyDescent="0.3">
      <c r="A38" s="3" t="s">
        <v>43</v>
      </c>
      <c r="B38" s="4">
        <v>9965.5400000000009</v>
      </c>
      <c r="C38" s="4">
        <v>31710.947499999998</v>
      </c>
      <c r="D38" s="4">
        <v>25993.272499999999</v>
      </c>
      <c r="E38" s="4">
        <v>13057.622499999996</v>
      </c>
      <c r="F38" s="4">
        <v>34378.557499999995</v>
      </c>
      <c r="G38" s="4">
        <v>3368.6875</v>
      </c>
      <c r="H38" s="4">
        <v>25.34</v>
      </c>
      <c r="I38" t="str">
        <f t="shared" si="0"/>
        <v>Uncertainity</v>
      </c>
      <c r="J38" s="4">
        <f>IF(Table2[[#This Row],[VIX]]&gt;(AVERAGE(Table2[VIX]) ), 1,0)</f>
        <v>1</v>
      </c>
      <c r="M38">
        <f>IF(Table2[[#This Row],[VIX]]&gt;AVERAGE(Table2[VIX]),1,0)</f>
        <v>1</v>
      </c>
      <c r="N38" t="str">
        <f>IF(Table2[[#This Row],[VIX]]&gt;AVERAGE(Table2[VIX]),"Uncertain","Normal")</f>
        <v>Uncertain</v>
      </c>
    </row>
    <row r="39" spans="1:14" x14ac:dyDescent="0.3">
      <c r="A39" s="3" t="s">
        <v>44</v>
      </c>
      <c r="B39" s="4">
        <v>10703.025000000001</v>
      </c>
      <c r="C39" s="4">
        <v>35736.11</v>
      </c>
      <c r="D39" s="4">
        <v>25410.8825</v>
      </c>
      <c r="E39" s="4">
        <v>12673.48</v>
      </c>
      <c r="F39" s="4">
        <v>33694.377500000002</v>
      </c>
      <c r="G39" s="4">
        <v>3550.16</v>
      </c>
      <c r="H39" s="4">
        <v>28.14</v>
      </c>
      <c r="I39" t="str">
        <f t="shared" si="0"/>
        <v>Uncertainity</v>
      </c>
      <c r="J39" s="4">
        <f>IF(Table2[[#This Row],[VIX]]&gt;(AVERAGE(Table2[VIX]) ), 1,0)</f>
        <v>1</v>
      </c>
      <c r="M39">
        <f>IF(Table2[[#This Row],[VIX]]&gt;AVERAGE(Table2[VIX]),1,0)</f>
        <v>1</v>
      </c>
      <c r="N39" t="str">
        <f>IF(Table2[[#This Row],[VIX]]&gt;AVERAGE(Table2[VIX]),"Uncertain","Normal")</f>
        <v>Uncertain</v>
      </c>
    </row>
    <row r="40" spans="1:14" x14ac:dyDescent="0.3">
      <c r="A40" s="3" t="s">
        <v>45</v>
      </c>
      <c r="B40" s="4">
        <v>10260.619047619048</v>
      </c>
      <c r="C40" s="4">
        <v>34643.347619047614</v>
      </c>
      <c r="D40" s="4">
        <v>25684.699999999997</v>
      </c>
      <c r="E40" s="4">
        <v>12154.364285714284</v>
      </c>
      <c r="F40" s="4">
        <v>33602.459523809528</v>
      </c>
      <c r="G40" s="4">
        <v>3864.4928571428572</v>
      </c>
      <c r="H40" s="4">
        <v>20.65</v>
      </c>
      <c r="I40" t="str">
        <f t="shared" si="0"/>
        <v>Uncertainity</v>
      </c>
      <c r="J40" s="4">
        <f>IF(Table2[[#This Row],[VIX]]&gt;(AVERAGE(Table2[VIX]) ), 1,0)</f>
        <v>1</v>
      </c>
      <c r="M40">
        <f>IF(Table2[[#This Row],[VIX]]&gt;AVERAGE(Table2[VIX]),1,0)</f>
        <v>1</v>
      </c>
      <c r="N40" t="str">
        <f>IF(Table2[[#This Row],[VIX]]&gt;AVERAGE(Table2[VIX]),"Uncertain","Normal")</f>
        <v>Uncertain</v>
      </c>
    </row>
    <row r="41" spans="1:14" x14ac:dyDescent="0.3">
      <c r="A41" s="3" t="s">
        <v>46</v>
      </c>
      <c r="B41" s="4">
        <v>9745.5631578947359</v>
      </c>
      <c r="C41" s="4">
        <v>32366.831578947364</v>
      </c>
      <c r="D41" s="4">
        <v>26200.655263157896</v>
      </c>
      <c r="E41" s="4">
        <v>13151.505263157893</v>
      </c>
      <c r="F41" s="4">
        <v>34415.007894736846</v>
      </c>
      <c r="G41" s="4">
        <v>4450.4026315789461</v>
      </c>
      <c r="H41" s="4">
        <v>23.03</v>
      </c>
      <c r="I41" t="str">
        <f t="shared" si="0"/>
        <v>Uncertainity</v>
      </c>
      <c r="J41" s="4">
        <f>IF(Table2[[#This Row],[VIX]]&gt;(AVERAGE(Table2[VIX]) ), 1,0)</f>
        <v>1</v>
      </c>
      <c r="M41">
        <f>IF(Table2[[#This Row],[VIX]]&gt;AVERAGE(Table2[VIX]),1,0)</f>
        <v>1</v>
      </c>
      <c r="N41" t="str">
        <f>IF(Table2[[#This Row],[VIX]]&gt;AVERAGE(Table2[VIX]),"Uncertain","Normal")</f>
        <v>Uncertain</v>
      </c>
    </row>
    <row r="42" spans="1:14" hidden="1" x14ac:dyDescent="0.3">
      <c r="A42" s="3" t="s">
        <v>47</v>
      </c>
      <c r="B42" s="4">
        <v>10102.502500000001</v>
      </c>
      <c r="C42" s="4">
        <v>33647.490000000005</v>
      </c>
      <c r="D42" s="4">
        <v>26187.317500000001</v>
      </c>
      <c r="E42" s="4">
        <v>14042.125</v>
      </c>
      <c r="F42" s="4">
        <v>34480.952499999999</v>
      </c>
      <c r="G42" s="4">
        <v>5148.5549999999994</v>
      </c>
      <c r="H42" s="4">
        <v>17.399999999999999</v>
      </c>
      <c r="I42" t="str">
        <f t="shared" si="0"/>
        <v>Normal</v>
      </c>
      <c r="J42" s="4">
        <f>IF(Table2[[#This Row],[VIX]]&gt;(AVERAGE(Table2[VIX]) ), 1,0)</f>
        <v>0</v>
      </c>
      <c r="M42">
        <f>IF(Table2[[#This Row],[VIX]]&gt;AVERAGE(Table2[VIX]),1,0)</f>
        <v>0</v>
      </c>
      <c r="N42" t="str">
        <f>IF(Table2[[#This Row],[VIX]]&gt;AVERAGE(Table2[VIX]),"Uncertain","Normal")</f>
        <v>Normal</v>
      </c>
    </row>
    <row r="43" spans="1:14" hidden="1" x14ac:dyDescent="0.3">
      <c r="A43" s="3" t="s">
        <v>48</v>
      </c>
      <c r="B43" s="4">
        <v>10650.618181818181</v>
      </c>
      <c r="C43" s="4">
        <v>35047.672727272729</v>
      </c>
      <c r="D43" s="4">
        <v>28153.218181818178</v>
      </c>
      <c r="E43" s="4">
        <v>14264.277272727275</v>
      </c>
      <c r="F43" s="4">
        <v>35836.363636363632</v>
      </c>
      <c r="G43" s="4">
        <v>5220.5636363636359</v>
      </c>
      <c r="H43" s="4">
        <v>13.05</v>
      </c>
      <c r="I43" t="str">
        <f t="shared" si="0"/>
        <v>Normal</v>
      </c>
      <c r="J43" s="4">
        <f>IF(Table2[[#This Row],[VIX]]&gt;(AVERAGE(Table2[VIX]) ), 1,0)</f>
        <v>0</v>
      </c>
      <c r="M43">
        <f>IF(Table2[[#This Row],[VIX]]&gt;AVERAGE(Table2[VIX]),1,0)</f>
        <v>0</v>
      </c>
      <c r="N43" t="str">
        <f>IF(Table2[[#This Row],[VIX]]&gt;AVERAGE(Table2[VIX]),"Uncertain","Normal")</f>
        <v>Normal</v>
      </c>
    </row>
    <row r="44" spans="1:14" hidden="1" x14ac:dyDescent="0.3">
      <c r="A44" s="3" t="s">
        <v>49</v>
      </c>
      <c r="B44" s="4">
        <v>10360.695238095239</v>
      </c>
      <c r="C44" s="4">
        <v>35112.60238095239</v>
      </c>
      <c r="D44" s="4">
        <v>29334.11428571428</v>
      </c>
      <c r="E44" s="4">
        <v>14524.007142857141</v>
      </c>
      <c r="F44" s="4">
        <v>36246.235714285714</v>
      </c>
      <c r="G44" s="4">
        <v>5342.692857142858</v>
      </c>
      <c r="H44" s="4">
        <v>12.8</v>
      </c>
      <c r="I44" t="str">
        <f t="shared" si="0"/>
        <v>Normal</v>
      </c>
      <c r="J44" s="4">
        <f>IF(Table2[[#This Row],[VIX]]&gt;(AVERAGE(Table2[VIX]) ), 1,0)</f>
        <v>0</v>
      </c>
      <c r="M44">
        <f>IF(Table2[[#This Row],[VIX]]&gt;AVERAGE(Table2[VIX]),1,0)</f>
        <v>0</v>
      </c>
      <c r="N44" t="str">
        <f>IF(Table2[[#This Row],[VIX]]&gt;AVERAGE(Table2[VIX]),"Uncertain","Normal")</f>
        <v>Normal</v>
      </c>
    </row>
    <row r="45" spans="1:14" hidden="1" x14ac:dyDescent="0.3">
      <c r="A45" s="3" t="s">
        <v>50</v>
      </c>
      <c r="B45" s="4">
        <v>10059.233333333334</v>
      </c>
      <c r="C45" s="4">
        <v>35740.761904761908</v>
      </c>
      <c r="D45" s="4">
        <v>32708.290476190468</v>
      </c>
      <c r="E45" s="4">
        <v>14289.190476190479</v>
      </c>
      <c r="F45" s="4">
        <v>37524.107142857138</v>
      </c>
      <c r="G45" s="4">
        <v>5654.3023809523811</v>
      </c>
      <c r="H45" s="4">
        <v>14.52</v>
      </c>
      <c r="I45" t="str">
        <f t="shared" si="0"/>
        <v>Normal</v>
      </c>
      <c r="J45" s="4">
        <f>IF(Table2[[#This Row],[VIX]]&gt;(AVERAGE(Table2[VIX]) ), 1,0)</f>
        <v>0</v>
      </c>
      <c r="M45">
        <f>IF(Table2[[#This Row],[VIX]]&gt;AVERAGE(Table2[VIX]),1,0)</f>
        <v>0</v>
      </c>
      <c r="N45" t="str">
        <f>IF(Table2[[#This Row],[VIX]]&gt;AVERAGE(Table2[VIX]),"Uncertain","Normal")</f>
        <v>Normal</v>
      </c>
    </row>
    <row r="46" spans="1:14" x14ac:dyDescent="0.3">
      <c r="A46" s="3" t="s">
        <v>51</v>
      </c>
      <c r="B46" s="4">
        <v>10295.902380952382</v>
      </c>
      <c r="C46" s="4">
        <v>37157.595238095244</v>
      </c>
      <c r="D46" s="4">
        <v>35479.888095238093</v>
      </c>
      <c r="E46" s="4">
        <v>14450.185714285715</v>
      </c>
      <c r="F46" s="4">
        <v>40670.447619047613</v>
      </c>
      <c r="G46" s="4">
        <v>5649.5714285714294</v>
      </c>
      <c r="H46" s="4">
        <v>18.399999999999999</v>
      </c>
      <c r="I46" t="str">
        <f t="shared" si="0"/>
        <v>Uncertainity</v>
      </c>
      <c r="J46" s="4">
        <f>IF(Table2[[#This Row],[VIX]]&gt;(AVERAGE(Table2[VIX]) ), 1,0)</f>
        <v>1</v>
      </c>
      <c r="M46">
        <f>IF(Table2[[#This Row],[VIX]]&gt;AVERAGE(Table2[VIX]),1,0)</f>
        <v>1</v>
      </c>
      <c r="N46" t="str">
        <f>IF(Table2[[#This Row],[VIX]]&gt;AVERAGE(Table2[VIX]),"Uncertain","Normal")</f>
        <v>Uncertain</v>
      </c>
    </row>
    <row r="47" spans="1:14" hidden="1" x14ac:dyDescent="0.3">
      <c r="A47" s="3" t="s">
        <v>52</v>
      </c>
      <c r="B47" s="4">
        <v>11284.55</v>
      </c>
      <c r="C47" s="4">
        <v>39070.772500000006</v>
      </c>
      <c r="D47" s="4">
        <v>35513.727499999994</v>
      </c>
      <c r="E47" s="4">
        <v>14509.4125</v>
      </c>
      <c r="F47" s="4">
        <v>39886.71</v>
      </c>
      <c r="G47" s="4">
        <v>5799.4950000000008</v>
      </c>
      <c r="H47" s="4">
        <v>17.43</v>
      </c>
      <c r="I47" t="str">
        <f t="shared" si="0"/>
        <v>Normal</v>
      </c>
      <c r="J47" s="4">
        <f>IF(Table2[[#This Row],[VIX]]&gt;(AVERAGE(Table2[VIX]) ), 1,0)</f>
        <v>0</v>
      </c>
      <c r="M47">
        <f>IF(Table2[[#This Row],[VIX]]&gt;AVERAGE(Table2[VIX]),1,0)</f>
        <v>0</v>
      </c>
      <c r="N47" t="str">
        <f>IF(Table2[[#This Row],[VIX]]&gt;AVERAGE(Table2[VIX]),"Uncertain","Normal")</f>
        <v>Normal</v>
      </c>
    </row>
    <row r="48" spans="1:14" x14ac:dyDescent="0.3">
      <c r="A48" s="3" t="s">
        <v>53</v>
      </c>
      <c r="B48" s="4">
        <v>11474.23</v>
      </c>
      <c r="C48" s="4">
        <v>38186.729999999996</v>
      </c>
      <c r="D48" s="4">
        <v>35588.122499999998</v>
      </c>
      <c r="E48" s="4">
        <v>13862.905000000002</v>
      </c>
      <c r="F48" s="4">
        <v>38528.662499999991</v>
      </c>
      <c r="G48" s="4">
        <v>5583.1949999999997</v>
      </c>
      <c r="H48" s="4">
        <v>21.17</v>
      </c>
      <c r="I48" t="str">
        <f t="shared" si="0"/>
        <v>Uncertainity</v>
      </c>
      <c r="J48" s="4">
        <f>IF(Table2[[#This Row],[VIX]]&gt;(AVERAGE(Table2[VIX]) ), 1,0)</f>
        <v>1</v>
      </c>
      <c r="M48">
        <f>IF(Table2[[#This Row],[VIX]]&gt;AVERAGE(Table2[VIX]),1,0)</f>
        <v>1</v>
      </c>
      <c r="N48" t="str">
        <f>IF(Table2[[#This Row],[VIX]]&gt;AVERAGE(Table2[VIX]),"Uncertain","Normal")</f>
        <v>Uncertain</v>
      </c>
    </row>
    <row r="49" spans="1:14" hidden="1" x14ac:dyDescent="0.3">
      <c r="A49" s="3" t="s">
        <v>54</v>
      </c>
      <c r="B49" s="4">
        <v>10801.13913043478</v>
      </c>
      <c r="C49" s="4">
        <v>35897.010869565216</v>
      </c>
      <c r="D49" s="4">
        <v>36640.615217391307</v>
      </c>
      <c r="E49" s="4">
        <v>13634.734782608697</v>
      </c>
      <c r="F49" s="4">
        <v>37218.991304347823</v>
      </c>
      <c r="G49" s="4">
        <v>5499.4891304347821</v>
      </c>
      <c r="H49" s="4">
        <v>16.22</v>
      </c>
      <c r="I49" t="str">
        <f t="shared" si="0"/>
        <v>Normal</v>
      </c>
      <c r="J49" s="4">
        <f>IF(Table2[[#This Row],[VIX]]&gt;(AVERAGE(Table2[VIX]) ), 1,0)</f>
        <v>0</v>
      </c>
      <c r="M49">
        <f>IF(Table2[[#This Row],[VIX]]&gt;AVERAGE(Table2[VIX]),1,0)</f>
        <v>0</v>
      </c>
      <c r="N49" t="str">
        <f>IF(Table2[[#This Row],[VIX]]&gt;AVERAGE(Table2[VIX]),"Uncertain","Normal")</f>
        <v>Normal</v>
      </c>
    </row>
    <row r="50" spans="1:14" x14ac:dyDescent="0.3">
      <c r="A50" s="3" t="s">
        <v>55</v>
      </c>
      <c r="B50" s="4">
        <v>11496.18</v>
      </c>
      <c r="C50" s="4">
        <v>37836.995000000003</v>
      </c>
      <c r="D50" s="4">
        <v>37234.222500000003</v>
      </c>
      <c r="E50" s="4">
        <v>13764.142499999998</v>
      </c>
      <c r="F50" s="4">
        <v>37278.6875</v>
      </c>
      <c r="G50" s="4">
        <v>5665.7300000000014</v>
      </c>
      <c r="H50" s="4">
        <v>18.409624999999998</v>
      </c>
      <c r="I50" t="str">
        <f t="shared" si="0"/>
        <v>Uncertainity</v>
      </c>
      <c r="J50" s="4">
        <f>IF(Table2[[#This Row],[VIX]]&gt;(AVERAGE(Table2[VIX]) ), 1,0)</f>
        <v>1</v>
      </c>
      <c r="M50">
        <f>IF(Table2[[#This Row],[VIX]]&gt;AVERAGE(Table2[VIX]),1,0)</f>
        <v>1</v>
      </c>
      <c r="N50" t="str">
        <f>IF(Table2[[#This Row],[VIX]]&gt;AVERAGE(Table2[VIX]),"Uncertain","Normal")</f>
        <v>Uncertain</v>
      </c>
    </row>
    <row r="51" spans="1:14" x14ac:dyDescent="0.3">
      <c r="A51" s="3" t="s">
        <v>56</v>
      </c>
      <c r="B51" s="4">
        <v>11383.404999999999</v>
      </c>
      <c r="C51" s="4">
        <v>37813.719999999987</v>
      </c>
      <c r="D51" s="4">
        <v>34522.289999999994</v>
      </c>
      <c r="E51" s="4">
        <v>13377.732500000002</v>
      </c>
      <c r="F51" s="4">
        <v>36448.315000000002</v>
      </c>
      <c r="G51" s="4">
        <v>5775.2224999999999</v>
      </c>
      <c r="H51" s="4">
        <v>22.075250000000004</v>
      </c>
      <c r="I51" t="str">
        <f t="shared" si="0"/>
        <v>Uncertainity</v>
      </c>
      <c r="J51" s="4">
        <f>IF(Table2[[#This Row],[VIX]]&gt;(AVERAGE(Table2[VIX]) ), 1,0)</f>
        <v>1</v>
      </c>
      <c r="M51">
        <f>IF(Table2[[#This Row],[VIX]]&gt;AVERAGE(Table2[VIX]),1,0)</f>
        <v>1</v>
      </c>
      <c r="N51" t="str">
        <f>IF(Table2[[#This Row],[VIX]]&gt;AVERAGE(Table2[VIX]),"Uncertain","Normal")</f>
        <v>Uncertain</v>
      </c>
    </row>
    <row r="52" spans="1:14" x14ac:dyDescent="0.3">
      <c r="A52" s="3" t="s">
        <v>57</v>
      </c>
      <c r="B52" s="4">
        <v>10230.721428571431</v>
      </c>
      <c r="C52" s="4">
        <v>35229.55000000001</v>
      </c>
      <c r="D52" s="4">
        <v>35479.030952380956</v>
      </c>
      <c r="E52" s="4">
        <v>13405.352380952379</v>
      </c>
      <c r="F52" s="4">
        <v>35485.454761904752</v>
      </c>
      <c r="G52" s="4">
        <v>6248.4809523809527</v>
      </c>
      <c r="H52" s="4">
        <v>25.079761904761909</v>
      </c>
      <c r="I52" t="str">
        <f t="shared" si="0"/>
        <v>Uncertainity</v>
      </c>
      <c r="J52" s="4">
        <f>IF(Table2[[#This Row],[VIX]]&gt;(AVERAGE(Table2[VIX]) ), 1,0)</f>
        <v>1</v>
      </c>
      <c r="M52">
        <f>IF(Table2[[#This Row],[VIX]]&gt;AVERAGE(Table2[VIX]),1,0)</f>
        <v>1</v>
      </c>
      <c r="N52" t="str">
        <f>IF(Table2[[#This Row],[VIX]]&gt;AVERAGE(Table2[VIX]),"Uncertain","Normal")</f>
        <v>Uncertain</v>
      </c>
    </row>
    <row r="53" spans="1:14" x14ac:dyDescent="0.3">
      <c r="A53" s="3" t="s">
        <v>58</v>
      </c>
      <c r="B53" s="4">
        <v>10910.723684210527</v>
      </c>
      <c r="C53" s="4">
        <v>36994.268421052635</v>
      </c>
      <c r="D53" s="4">
        <v>33688.589473684224</v>
      </c>
      <c r="E53" s="4">
        <v>13769.107894736842</v>
      </c>
      <c r="F53" s="4">
        <v>37788.928947368426</v>
      </c>
      <c r="G53" s="4">
        <v>6537.7684210526313</v>
      </c>
      <c r="H53" s="4">
        <v>18.87263157894737</v>
      </c>
      <c r="I53" t="str">
        <f t="shared" si="0"/>
        <v>Uncertainity</v>
      </c>
      <c r="J53" s="4">
        <f>IF(Table2[[#This Row],[VIX]]&gt;(AVERAGE(Table2[VIX]) ), 1,0)</f>
        <v>1</v>
      </c>
      <c r="M53">
        <f>IF(Table2[[#This Row],[VIX]]&gt;AVERAGE(Table2[VIX]),1,0)</f>
        <v>1</v>
      </c>
      <c r="N53" t="str">
        <f>IF(Table2[[#This Row],[VIX]]&gt;AVERAGE(Table2[VIX]),"Uncertain","Normal")</f>
        <v>Uncertain</v>
      </c>
    </row>
    <row r="54" spans="1:14" x14ac:dyDescent="0.3">
      <c r="A54" s="3" t="s">
        <v>59</v>
      </c>
      <c r="B54" s="4">
        <v>10829.72380952381</v>
      </c>
      <c r="C54" s="4">
        <v>34567.242857142861</v>
      </c>
      <c r="D54" s="4">
        <v>29652.502380952377</v>
      </c>
      <c r="E54" s="4">
        <v>12899.173809523811</v>
      </c>
      <c r="F54" s="4">
        <v>37639.433333333349</v>
      </c>
      <c r="G54" s="4">
        <v>5582.7214285714281</v>
      </c>
      <c r="H54" s="4">
        <v>22.608690476190482</v>
      </c>
      <c r="I54" t="str">
        <f t="shared" si="0"/>
        <v>Uncertainity</v>
      </c>
      <c r="J54" s="4">
        <f>IF(Table2[[#This Row],[VIX]]&gt;(AVERAGE(Table2[VIX]) ), 1,0)</f>
        <v>1</v>
      </c>
      <c r="M54">
        <f>IF(Table2[[#This Row],[VIX]]&gt;AVERAGE(Table2[VIX]),1,0)</f>
        <v>1</v>
      </c>
      <c r="N54" t="str">
        <f>IF(Table2[[#This Row],[VIX]]&gt;AVERAGE(Table2[VIX]),"Uncertain","Normal")</f>
        <v>Uncertain</v>
      </c>
    </row>
    <row r="55" spans="1:14" x14ac:dyDescent="0.3">
      <c r="A55" s="3" t="s">
        <v>60</v>
      </c>
      <c r="B55" s="4">
        <v>11322.038636363635</v>
      </c>
      <c r="C55" s="4">
        <v>33926.384090909087</v>
      </c>
      <c r="D55" s="4">
        <v>28406.134090909094</v>
      </c>
      <c r="E55" s="4">
        <v>12313.540909090911</v>
      </c>
      <c r="F55" s="4">
        <v>37496.906818181822</v>
      </c>
      <c r="G55" s="4">
        <v>4943.8136363636359</v>
      </c>
      <c r="H55" s="4">
        <v>21.128409090909091</v>
      </c>
      <c r="I55" t="str">
        <f t="shared" si="0"/>
        <v>Uncertainity</v>
      </c>
      <c r="J55" s="4">
        <f>IF(Table2[[#This Row],[VIX]]&gt;(AVERAGE(Table2[VIX]) ), 1,0)</f>
        <v>1</v>
      </c>
      <c r="M55">
        <f>IF(Table2[[#This Row],[VIX]]&gt;AVERAGE(Table2[VIX]),1,0)</f>
        <v>1</v>
      </c>
      <c r="N55" t="str">
        <f>IF(Table2[[#This Row],[VIX]]&gt;AVERAGE(Table2[VIX]),"Uncertain","Normal")</f>
        <v>Uncertain</v>
      </c>
    </row>
    <row r="56" spans="1:14" x14ac:dyDescent="0.3">
      <c r="A56" s="3" t="s">
        <v>61</v>
      </c>
      <c r="B56" s="4">
        <v>12228.990476190476</v>
      </c>
      <c r="C56" s="4">
        <v>35486.080952380958</v>
      </c>
      <c r="D56" s="4">
        <v>27769.609523809522</v>
      </c>
      <c r="E56" s="4">
        <v>12619.830952380949</v>
      </c>
      <c r="F56" s="4">
        <v>41246.288095238095</v>
      </c>
      <c r="G56" s="4">
        <v>4955.9595238095226</v>
      </c>
      <c r="H56" s="4">
        <v>18.308690476190478</v>
      </c>
      <c r="I56" t="str">
        <f t="shared" si="0"/>
        <v>Uncertainity</v>
      </c>
      <c r="J56" s="4">
        <f>IF(Table2[[#This Row],[VIX]]&gt;(AVERAGE(Table2[VIX]) ), 1,0)</f>
        <v>1</v>
      </c>
      <c r="M56">
        <f>IF(Table2[[#This Row],[VIX]]&gt;AVERAGE(Table2[VIX]),1,0)</f>
        <v>1</v>
      </c>
      <c r="N56" t="str">
        <f>IF(Table2[[#This Row],[VIX]]&gt;AVERAGE(Table2[VIX]),"Uncertain","Normal")</f>
        <v>Uncertain</v>
      </c>
    </row>
    <row r="57" spans="1:14" x14ac:dyDescent="0.3">
      <c r="A57" s="3" t="s">
        <v>62</v>
      </c>
      <c r="B57" s="4">
        <v>12967.094999999999</v>
      </c>
      <c r="C57" s="4">
        <v>38658.435000000005</v>
      </c>
      <c r="D57" s="4">
        <v>29405.555000000004</v>
      </c>
      <c r="E57" s="4">
        <v>12874.322500000002</v>
      </c>
      <c r="F57" s="4">
        <v>42916.805</v>
      </c>
      <c r="G57" s="4">
        <v>5770.2225000000008</v>
      </c>
      <c r="H57" s="4">
        <v>18.565624999999997</v>
      </c>
      <c r="I57" t="str">
        <f t="shared" si="0"/>
        <v>Uncertainity</v>
      </c>
      <c r="J57" s="4">
        <f>IF(Table2[[#This Row],[VIX]]&gt;(AVERAGE(Table2[VIX]) ), 1,0)</f>
        <v>1</v>
      </c>
      <c r="M57">
        <f>IF(Table2[[#This Row],[VIX]]&gt;AVERAGE(Table2[VIX]),1,0)</f>
        <v>1</v>
      </c>
      <c r="N57" t="str">
        <f>IF(Table2[[#This Row],[VIX]]&gt;AVERAGE(Table2[VIX]),"Uncertain","Normal")</f>
        <v>Uncertain</v>
      </c>
    </row>
    <row r="58" spans="1:14" x14ac:dyDescent="0.3">
      <c r="A58" s="3" t="s">
        <v>63</v>
      </c>
      <c r="B58" s="4">
        <v>13057.977272727272</v>
      </c>
      <c r="C58" s="4">
        <v>39903.704545454544</v>
      </c>
      <c r="D58" s="4">
        <v>27514.631818181824</v>
      </c>
      <c r="E58" s="4">
        <v>12716.145454545453</v>
      </c>
      <c r="F58" s="4">
        <v>44010.55909090909</v>
      </c>
      <c r="G58" s="4">
        <v>5994.3909090909083</v>
      </c>
      <c r="H58" s="4">
        <v>19.554318181818179</v>
      </c>
      <c r="I58" t="str">
        <f t="shared" si="0"/>
        <v>Uncertainity</v>
      </c>
      <c r="J58" s="4">
        <f>IF(Table2[[#This Row],[VIX]]&gt;(AVERAGE(Table2[VIX]) ), 1,0)</f>
        <v>1</v>
      </c>
      <c r="M58">
        <f>IF(Table2[[#This Row],[VIX]]&gt;AVERAGE(Table2[VIX]),1,0)</f>
        <v>1</v>
      </c>
      <c r="N58" t="str">
        <f>IF(Table2[[#This Row],[VIX]]&gt;AVERAGE(Table2[VIX]),"Uncertain","Normal")</f>
        <v>Uncertain</v>
      </c>
    </row>
    <row r="59" spans="1:14" x14ac:dyDescent="0.3">
      <c r="A59" s="3" t="s">
        <v>64</v>
      </c>
      <c r="B59" s="4">
        <v>12749.486842105263</v>
      </c>
      <c r="C59" s="4">
        <v>39893.473684210527</v>
      </c>
      <c r="D59" s="4">
        <v>28030.497368421049</v>
      </c>
      <c r="E59" s="4">
        <v>13126.768421052629</v>
      </c>
      <c r="F59" s="4">
        <v>43708.039473684214</v>
      </c>
      <c r="G59" s="4">
        <v>5813.0421052631573</v>
      </c>
      <c r="H59" s="4">
        <v>18.336447368421059</v>
      </c>
      <c r="I59" t="str">
        <f t="shared" si="0"/>
        <v>Uncertainity</v>
      </c>
      <c r="J59" s="4">
        <f>IF(Table2[[#This Row],[VIX]]&gt;(AVERAGE(Table2[VIX]) ), 1,0)</f>
        <v>1</v>
      </c>
      <c r="M59">
        <f>IF(Table2[[#This Row],[VIX]]&gt;AVERAGE(Table2[VIX]),1,0)</f>
        <v>1</v>
      </c>
      <c r="N59" t="str">
        <f>IF(Table2[[#This Row],[VIX]]&gt;AVERAGE(Table2[VIX]),"Uncertain","Normal")</f>
        <v>Uncertain</v>
      </c>
    </row>
    <row r="60" spans="1:14" hidden="1" x14ac:dyDescent="0.3">
      <c r="A60" s="3" t="s">
        <v>65</v>
      </c>
      <c r="B60" s="4">
        <v>13071.785714285714</v>
      </c>
      <c r="C60" s="4">
        <v>42237.185714285712</v>
      </c>
      <c r="D60" s="4">
        <v>29523.94761904762</v>
      </c>
      <c r="E60" s="4">
        <v>13179.440476190477</v>
      </c>
      <c r="F60" s="4">
        <v>44322.642857142862</v>
      </c>
      <c r="G60" s="4">
        <v>6386.7547619047618</v>
      </c>
      <c r="H60" s="4">
        <v>14.774047619047618</v>
      </c>
      <c r="I60" t="str">
        <f t="shared" si="0"/>
        <v>Normal</v>
      </c>
      <c r="J60" s="4">
        <f>IF(Table2[[#This Row],[VIX]]&gt;(AVERAGE(Table2[VIX]) ), 1,0)</f>
        <v>0</v>
      </c>
      <c r="M60">
        <f>IF(Table2[[#This Row],[VIX]]&gt;AVERAGE(Table2[VIX]),1,0)</f>
        <v>0</v>
      </c>
      <c r="N60" t="str">
        <f>IF(Table2[[#This Row],[VIX]]&gt;AVERAGE(Table2[VIX]),"Uncertain","Normal")</f>
        <v>Normal</v>
      </c>
    </row>
    <row r="61" spans="1:14" hidden="1" x14ac:dyDescent="0.3">
      <c r="A61" s="3" t="s">
        <v>66</v>
      </c>
      <c r="B61" s="4">
        <v>12795.431818181816</v>
      </c>
      <c r="C61" s="4">
        <v>43164.145454545454</v>
      </c>
      <c r="D61" s="4">
        <v>29307.138636363637</v>
      </c>
      <c r="E61" s="4">
        <v>12899.077272727272</v>
      </c>
      <c r="F61" s="4">
        <v>45305.625</v>
      </c>
      <c r="G61" s="4">
        <v>6661.6568181818202</v>
      </c>
      <c r="H61" s="4">
        <v>14.225681818181817</v>
      </c>
      <c r="I61" t="str">
        <f t="shared" si="0"/>
        <v>Normal</v>
      </c>
      <c r="J61" s="4">
        <f>IF(Table2[[#This Row],[VIX]]&gt;(AVERAGE(Table2[VIX]) ), 1,0)</f>
        <v>0</v>
      </c>
      <c r="M61">
        <f>IF(Table2[[#This Row],[VIX]]&gt;AVERAGE(Table2[VIX]),1,0)</f>
        <v>0</v>
      </c>
      <c r="N61" t="str">
        <f>IF(Table2[[#This Row],[VIX]]&gt;AVERAGE(Table2[VIX]),"Uncertain","Normal")</f>
        <v>Normal</v>
      </c>
    </row>
    <row r="62" spans="1:14" hidden="1" x14ac:dyDescent="0.3">
      <c r="A62" s="3" t="s">
        <v>67</v>
      </c>
      <c r="B62" s="4">
        <v>12813.542857142855</v>
      </c>
      <c r="C62" s="4">
        <v>42188.32142857142</v>
      </c>
      <c r="D62" s="4">
        <v>29235.89285714287</v>
      </c>
      <c r="E62" s="4">
        <v>12708.535714285714</v>
      </c>
      <c r="F62" s="4">
        <v>44272.680952380957</v>
      </c>
      <c r="G62" s="4">
        <v>6736.2333333333318</v>
      </c>
      <c r="H62" s="4">
        <v>15.008333333333335</v>
      </c>
      <c r="I62" t="str">
        <f t="shared" si="0"/>
        <v>Normal</v>
      </c>
      <c r="J62" s="4">
        <f>IF(Table2[[#This Row],[VIX]]&gt;(AVERAGE(Table2[VIX]) ), 1,0)</f>
        <v>0</v>
      </c>
      <c r="M62">
        <f>IF(Table2[[#This Row],[VIX]]&gt;AVERAGE(Table2[VIX]),1,0)</f>
        <v>0</v>
      </c>
      <c r="N62" t="str">
        <f>IF(Table2[[#This Row],[VIX]]&gt;AVERAGE(Table2[VIX]),"Uncertain","Normal")</f>
        <v>Normal</v>
      </c>
    </row>
    <row r="63" spans="1:14" hidden="1" x14ac:dyDescent="0.3">
      <c r="A63" s="3" t="s">
        <v>68</v>
      </c>
      <c r="B63" s="4">
        <v>13124.059999999998</v>
      </c>
      <c r="C63" s="4">
        <v>40974.097499999996</v>
      </c>
      <c r="D63" s="4">
        <v>30615.805</v>
      </c>
      <c r="E63" s="4">
        <v>12237.9625</v>
      </c>
      <c r="F63" s="4">
        <v>45598.477500000001</v>
      </c>
      <c r="G63" s="4">
        <v>5740.4874999999993</v>
      </c>
      <c r="H63" s="4">
        <v>14.060124999999999</v>
      </c>
      <c r="I63" t="str">
        <f t="shared" si="0"/>
        <v>Normal</v>
      </c>
      <c r="J63" s="4">
        <f>IF(Table2[[#This Row],[VIX]]&gt;(AVERAGE(Table2[VIX]) ), 1,0)</f>
        <v>0</v>
      </c>
      <c r="M63">
        <f>IF(Table2[[#This Row],[VIX]]&gt;AVERAGE(Table2[VIX]),1,0)</f>
        <v>0</v>
      </c>
      <c r="N63" t="str">
        <f>IF(Table2[[#This Row],[VIX]]&gt;AVERAGE(Table2[VIX]),"Uncertain","Normal")</f>
        <v>Normal</v>
      </c>
    </row>
    <row r="64" spans="1:14" hidden="1" x14ac:dyDescent="0.3">
      <c r="A64" s="3" t="s">
        <v>69</v>
      </c>
      <c r="B64" s="4">
        <v>12408.266666666666</v>
      </c>
      <c r="C64" s="4">
        <v>40073.964285714283</v>
      </c>
      <c r="D64" s="4">
        <v>28877.478571428575</v>
      </c>
      <c r="E64" s="4">
        <v>11809.933333333334</v>
      </c>
      <c r="F64" s="4">
        <v>45155.145238095232</v>
      </c>
      <c r="G64" s="4">
        <v>5527.5666666666675</v>
      </c>
      <c r="H64" s="4">
        <v>14.35464285714286</v>
      </c>
      <c r="I64" t="str">
        <f t="shared" si="0"/>
        <v>Normal</v>
      </c>
      <c r="J64" s="4">
        <f>IF(Table2[[#This Row],[VIX]]&gt;(AVERAGE(Table2[VIX]) ), 1,0)</f>
        <v>0</v>
      </c>
      <c r="M64">
        <f>IF(Table2[[#This Row],[VIX]]&gt;AVERAGE(Table2[VIX]),1,0)</f>
        <v>0</v>
      </c>
      <c r="N64" t="str">
        <f>IF(Table2[[#This Row],[VIX]]&gt;AVERAGE(Table2[VIX]),"Uncertain","Normal")</f>
        <v>Normal</v>
      </c>
    </row>
    <row r="65" spans="1:14" hidden="1" x14ac:dyDescent="0.3">
      <c r="A65" s="3" t="s">
        <v>70</v>
      </c>
      <c r="B65" s="4">
        <v>12844.652941176473</v>
      </c>
      <c r="C65" s="4">
        <v>42011.352941176476</v>
      </c>
      <c r="D65" s="4">
        <v>27756.76176470588</v>
      </c>
      <c r="E65" s="4">
        <v>12478.96176470588</v>
      </c>
      <c r="F65" s="4">
        <v>46578.914705882351</v>
      </c>
      <c r="G65" s="4">
        <v>5679.5441176470595</v>
      </c>
      <c r="H65" s="4">
        <v>11.911617647058824</v>
      </c>
      <c r="I65" t="str">
        <f t="shared" si="0"/>
        <v>Normal</v>
      </c>
      <c r="J65" s="4">
        <f>IF(Table2[[#This Row],[VIX]]&gt;(AVERAGE(Table2[VIX]) ), 1,0)</f>
        <v>0</v>
      </c>
      <c r="M65">
        <f>IF(Table2[[#This Row],[VIX]]&gt;AVERAGE(Table2[VIX]),1,0)</f>
        <v>0</v>
      </c>
      <c r="N65" t="str">
        <f>IF(Table2[[#This Row],[VIX]]&gt;AVERAGE(Table2[VIX]),"Uncertain","Normal")</f>
        <v>Normal</v>
      </c>
    </row>
    <row r="66" spans="1:14" hidden="1" x14ac:dyDescent="0.3">
      <c r="A66" s="3" t="s">
        <v>71</v>
      </c>
      <c r="B66" s="4">
        <v>13814.71590909091</v>
      </c>
      <c r="C66" s="4">
        <v>43708.313636363629</v>
      </c>
      <c r="D66" s="4">
        <v>28412.504545454543</v>
      </c>
      <c r="E66" s="4">
        <v>12573.520454545453</v>
      </c>
      <c r="F66" s="4">
        <v>49170.856818181812</v>
      </c>
      <c r="G66" s="4">
        <v>5812.045454545455</v>
      </c>
      <c r="H66" s="4">
        <v>12.540113636363635</v>
      </c>
      <c r="I66" t="str">
        <f t="shared" ref="I66:I85" si="1">IF(H66&gt;(AVERAGE($H$3:$H$86) ), "Uncertainity","Normal")</f>
        <v>Normal</v>
      </c>
      <c r="J66" s="4">
        <f>IF(Table2[[#This Row],[VIX]]&gt;(AVERAGE(Table2[VIX]) ), 1,0)</f>
        <v>0</v>
      </c>
      <c r="M66">
        <f>IF(Table2[[#This Row],[VIX]]&gt;AVERAGE(Table2[VIX]),1,0)</f>
        <v>0</v>
      </c>
      <c r="N66" t="str">
        <f>IF(Table2[[#This Row],[VIX]]&gt;AVERAGE(Table2[VIX]),"Uncertain","Normal")</f>
        <v>Normal</v>
      </c>
    </row>
    <row r="67" spans="1:14" hidden="1" x14ac:dyDescent="0.3">
      <c r="A67" s="3" t="s">
        <v>72</v>
      </c>
      <c r="B67" s="4">
        <v>14690.583333333334</v>
      </c>
      <c r="C67" s="4">
        <v>43956.785714285717</v>
      </c>
      <c r="D67" s="4">
        <v>28867.376190476192</v>
      </c>
      <c r="E67" s="4">
        <v>13194.857142857143</v>
      </c>
      <c r="F67" s="4">
        <v>51556.097619047621</v>
      </c>
      <c r="G67" s="4">
        <v>6109.4547619047617</v>
      </c>
      <c r="H67" s="4">
        <v>11.180476190476192</v>
      </c>
      <c r="I67" t="str">
        <f t="shared" si="1"/>
        <v>Normal</v>
      </c>
      <c r="J67" s="4">
        <f>IF(Table2[[#This Row],[VIX]]&gt;(AVERAGE(Table2[VIX]) ), 1,0)</f>
        <v>0</v>
      </c>
      <c r="M67">
        <f>IF(Table2[[#This Row],[VIX]]&gt;AVERAGE(Table2[VIX]),1,0)</f>
        <v>0</v>
      </c>
      <c r="N67" t="str">
        <f>IF(Table2[[#This Row],[VIX]]&gt;AVERAGE(Table2[VIX]),"Uncertain","Normal")</f>
        <v>Normal</v>
      </c>
    </row>
    <row r="68" spans="1:14" hidden="1" x14ac:dyDescent="0.3">
      <c r="A68" s="3" t="s">
        <v>73</v>
      </c>
      <c r="B68" s="4">
        <v>15513.959523809524</v>
      </c>
      <c r="C68" s="4">
        <v>45382.23095238096</v>
      </c>
      <c r="D68" s="4">
        <v>29996.445238095235</v>
      </c>
      <c r="E68" s="4">
        <v>14204.188095238096</v>
      </c>
      <c r="F68" s="4">
        <v>53135.464285714275</v>
      </c>
      <c r="G68" s="4">
        <v>6444.2023809523826</v>
      </c>
      <c r="H68" s="4">
        <v>11.182500000000001</v>
      </c>
      <c r="I68" t="str">
        <f t="shared" si="1"/>
        <v>Normal</v>
      </c>
      <c r="J68" s="4">
        <f>IF(Table2[[#This Row],[VIX]]&gt;(AVERAGE(Table2[VIX]) ), 1,0)</f>
        <v>0</v>
      </c>
      <c r="M68">
        <f>IF(Table2[[#This Row],[VIX]]&gt;AVERAGE(Table2[VIX]),1,0)</f>
        <v>0</v>
      </c>
      <c r="N68" t="str">
        <f>IF(Table2[[#This Row],[VIX]]&gt;AVERAGE(Table2[VIX]),"Uncertain","Normal")</f>
        <v>Normal</v>
      </c>
    </row>
    <row r="69" spans="1:14" hidden="1" x14ac:dyDescent="0.3">
      <c r="A69" s="3" t="s">
        <v>74</v>
      </c>
      <c r="B69" s="4">
        <v>15457.81363636364</v>
      </c>
      <c r="C69" s="4">
        <v>44436.274999999987</v>
      </c>
      <c r="D69" s="4">
        <v>30798.829545454544</v>
      </c>
      <c r="E69" s="4">
        <v>15369.275000000001</v>
      </c>
      <c r="F69" s="4">
        <v>51777.143181818181</v>
      </c>
      <c r="G69" s="4">
        <v>6606.254545454547</v>
      </c>
      <c r="H69" s="4">
        <v>11.63693181818182</v>
      </c>
      <c r="I69" t="str">
        <f t="shared" si="1"/>
        <v>Normal</v>
      </c>
      <c r="J69" s="4">
        <f>IF(Table2[[#This Row],[VIX]]&gt;(AVERAGE(Table2[VIX]) ), 1,0)</f>
        <v>0</v>
      </c>
      <c r="M69">
        <f>IF(Table2[[#This Row],[VIX]]&gt;AVERAGE(Table2[VIX]),1,0)</f>
        <v>0</v>
      </c>
      <c r="N69" t="str">
        <f>IF(Table2[[#This Row],[VIX]]&gt;AVERAGE(Table2[VIX]),"Uncertain","Normal")</f>
        <v>Normal</v>
      </c>
    </row>
    <row r="70" spans="1:14" hidden="1" x14ac:dyDescent="0.3">
      <c r="A70" s="3" t="s">
        <v>75</v>
      </c>
      <c r="B70" s="4">
        <v>16170.459999999997</v>
      </c>
      <c r="C70" s="4">
        <v>45033.93499999999</v>
      </c>
      <c r="D70" s="4">
        <v>32570.547500000004</v>
      </c>
      <c r="E70" s="4">
        <v>15366.007500000002</v>
      </c>
      <c r="F70" s="4">
        <v>51822.217500000006</v>
      </c>
      <c r="G70" s="4">
        <v>6905.6824999999981</v>
      </c>
      <c r="H70" s="4">
        <v>11.197125</v>
      </c>
      <c r="I70" t="str">
        <f t="shared" si="1"/>
        <v>Normal</v>
      </c>
      <c r="J70" s="4">
        <f>IF(Table2[[#This Row],[VIX]]&gt;(AVERAGE(Table2[VIX]) ), 1,0)</f>
        <v>0</v>
      </c>
      <c r="M70">
        <f>IF(Table2[[#This Row],[VIX]]&gt;AVERAGE(Table2[VIX]),1,0)</f>
        <v>0</v>
      </c>
      <c r="N70" t="str">
        <f>IF(Table2[[#This Row],[VIX]]&gt;AVERAGE(Table2[VIX]),"Uncertain","Normal")</f>
        <v>Normal</v>
      </c>
    </row>
    <row r="71" spans="1:14" hidden="1" x14ac:dyDescent="0.3">
      <c r="A71" s="3" t="s">
        <v>76</v>
      </c>
      <c r="B71" s="4">
        <v>16185.372499999998</v>
      </c>
      <c r="C71" s="4">
        <v>43775.992500000008</v>
      </c>
      <c r="D71" s="4">
        <v>31541.109999999997</v>
      </c>
      <c r="E71" s="4">
        <v>15153.825000000001</v>
      </c>
      <c r="F71" s="4">
        <v>51771.592499999984</v>
      </c>
      <c r="G71" s="4">
        <v>6691.8599999999988</v>
      </c>
      <c r="H71" s="4">
        <v>11.109249999999999</v>
      </c>
      <c r="I71" t="str">
        <f t="shared" si="1"/>
        <v>Normal</v>
      </c>
      <c r="J71" s="4">
        <f>IF(Table2[[#This Row],[VIX]]&gt;(AVERAGE(Table2[VIX]) ), 1,0)</f>
        <v>0</v>
      </c>
      <c r="M71">
        <f>IF(Table2[[#This Row],[VIX]]&gt;AVERAGE(Table2[VIX]),1,0)</f>
        <v>0</v>
      </c>
      <c r="N71" t="str">
        <f>IF(Table2[[#This Row],[VIX]]&gt;AVERAGE(Table2[VIX]),"Uncertain","Normal")</f>
        <v>Normal</v>
      </c>
    </row>
    <row r="72" spans="1:14" hidden="1" x14ac:dyDescent="0.3">
      <c r="A72" s="3" t="s">
        <v>77</v>
      </c>
      <c r="B72" s="4">
        <v>16619.752380952385</v>
      </c>
      <c r="C72" s="4">
        <v>43732.885714285716</v>
      </c>
      <c r="D72" s="4">
        <v>31539.764285714278</v>
      </c>
      <c r="E72" s="4">
        <v>15647.780952380956</v>
      </c>
      <c r="F72" s="4">
        <v>52303.040476190472</v>
      </c>
      <c r="G72" s="4">
        <v>6726.3238095238103</v>
      </c>
      <c r="H72" s="4">
        <v>11.573214285714286</v>
      </c>
      <c r="I72" t="str">
        <f t="shared" si="1"/>
        <v>Normal</v>
      </c>
      <c r="J72" s="4">
        <f>IF(Table2[[#This Row],[VIX]]&gt;(AVERAGE(Table2[VIX]) ), 1,0)</f>
        <v>0</v>
      </c>
      <c r="M72">
        <f>IF(Table2[[#This Row],[VIX]]&gt;AVERAGE(Table2[VIX]),1,0)</f>
        <v>0</v>
      </c>
      <c r="N72" t="str">
        <f>IF(Table2[[#This Row],[VIX]]&gt;AVERAGE(Table2[VIX]),"Uncertain","Normal")</f>
        <v>Normal</v>
      </c>
    </row>
    <row r="73" spans="1:14" hidden="1" x14ac:dyDescent="0.3">
      <c r="A73" s="3" t="s">
        <v>78</v>
      </c>
      <c r="B73" s="4">
        <v>17900.984999999997</v>
      </c>
      <c r="C73" s="4">
        <v>47394.972500000011</v>
      </c>
      <c r="D73" s="4">
        <v>34294.875</v>
      </c>
      <c r="E73" s="4">
        <v>16409.852500000001</v>
      </c>
      <c r="F73" s="4">
        <v>54663.565000000002</v>
      </c>
      <c r="G73" s="4">
        <v>7559.3250000000016</v>
      </c>
      <c r="H73" s="4">
        <v>13.512874999999999</v>
      </c>
      <c r="I73" t="str">
        <f t="shared" si="1"/>
        <v>Normal</v>
      </c>
      <c r="J73" s="4">
        <f>IF(Table2[[#This Row],[VIX]]&gt;(AVERAGE(Table2[VIX]) ), 1,0)</f>
        <v>0</v>
      </c>
      <c r="M73">
        <f>IF(Table2[[#This Row],[VIX]]&gt;AVERAGE(Table2[VIX]),1,0)</f>
        <v>0</v>
      </c>
      <c r="N73" t="str">
        <f>IF(Table2[[#This Row],[VIX]]&gt;AVERAGE(Table2[VIX]),"Uncertain","Normal")</f>
        <v>Normal</v>
      </c>
    </row>
    <row r="74" spans="1:14" hidden="1" x14ac:dyDescent="0.3">
      <c r="A74" s="3" t="s">
        <v>79</v>
      </c>
      <c r="B74" s="4">
        <v>18602.445454545454</v>
      </c>
      <c r="C74" s="4">
        <v>46765.859090909093</v>
      </c>
      <c r="D74" s="4">
        <v>35952.299999999996</v>
      </c>
      <c r="E74" s="4">
        <v>17514.495454545453</v>
      </c>
      <c r="F74" s="4">
        <v>56294.115909090913</v>
      </c>
      <c r="G74" s="4">
        <v>7821.7659090909083</v>
      </c>
      <c r="H74" s="4">
        <v>14.090454545454547</v>
      </c>
      <c r="I74" t="str">
        <f t="shared" si="1"/>
        <v>Normal</v>
      </c>
      <c r="J74" s="4">
        <f>IF(Table2[[#This Row],[VIX]]&gt;(AVERAGE(Table2[VIX]) ), 1,0)</f>
        <v>0</v>
      </c>
      <c r="M74">
        <f>IF(Table2[[#This Row],[VIX]]&gt;AVERAGE(Table2[VIX]),1,0)</f>
        <v>0</v>
      </c>
      <c r="N74" t="str">
        <f>IF(Table2[[#This Row],[VIX]]&gt;AVERAGE(Table2[VIX]),"Uncertain","Normal")</f>
        <v>Normal</v>
      </c>
    </row>
    <row r="75" spans="1:14" hidden="1" x14ac:dyDescent="0.3">
      <c r="A75" s="3" t="s">
        <v>80</v>
      </c>
      <c r="B75" s="4">
        <v>20040.083333333332</v>
      </c>
      <c r="C75" s="4">
        <v>46127.011904761916</v>
      </c>
      <c r="D75" s="4">
        <v>37806.878571428577</v>
      </c>
      <c r="E75" s="4">
        <v>18800.278571428571</v>
      </c>
      <c r="F75" s="4">
        <v>54108.126190476185</v>
      </c>
      <c r="G75" s="4">
        <v>8004.1785714285716</v>
      </c>
      <c r="H75" s="4">
        <v>15.547857142857143</v>
      </c>
      <c r="I75" t="str">
        <f t="shared" si="1"/>
        <v>Normal</v>
      </c>
      <c r="J75" s="4">
        <f>IF(Table2[[#This Row],[VIX]]&gt;(AVERAGE(Table2[VIX]) ), 1,0)</f>
        <v>0</v>
      </c>
      <c r="M75">
        <f>IF(Table2[[#This Row],[VIX]]&gt;AVERAGE(Table2[VIX]),1,0)</f>
        <v>0</v>
      </c>
      <c r="N75" t="str">
        <f>IF(Table2[[#This Row],[VIX]]&gt;AVERAGE(Table2[VIX]),"Uncertain","Normal")</f>
        <v>Normal</v>
      </c>
    </row>
    <row r="76" spans="1:14" hidden="1" x14ac:dyDescent="0.3">
      <c r="A76" s="3" t="s">
        <v>81</v>
      </c>
      <c r="B76" s="4">
        <v>20822.031578947372</v>
      </c>
      <c r="C76" s="4">
        <v>47038.384210526317</v>
      </c>
      <c r="D76" s="4">
        <v>36519.726315789485</v>
      </c>
      <c r="E76" s="4">
        <v>18990.836842105269</v>
      </c>
      <c r="F76" s="4">
        <v>53814.615789473683</v>
      </c>
      <c r="G76" s="4">
        <v>8102.2210526315785</v>
      </c>
      <c r="H76" s="4">
        <v>13.688333333333334</v>
      </c>
      <c r="I76" t="str">
        <f t="shared" si="1"/>
        <v>Normal</v>
      </c>
      <c r="J76" s="4">
        <f>IF(Table2[[#This Row],[VIX]]&gt;(AVERAGE(Table2[VIX]) ), 1,0)</f>
        <v>0</v>
      </c>
      <c r="M76">
        <f>IF(Table2[[#This Row],[VIX]]&gt;AVERAGE(Table2[VIX]),1,0)</f>
        <v>0</v>
      </c>
      <c r="N76" t="str">
        <f>IF(Table2[[#This Row],[VIX]]&gt;AVERAGE(Table2[VIX]),"Uncertain","Normal")</f>
        <v>Normal</v>
      </c>
    </row>
    <row r="77" spans="1:14" hidden="1" x14ac:dyDescent="0.3">
      <c r="A77" s="3" t="s">
        <v>82</v>
      </c>
      <c r="B77" s="4">
        <v>21834.665000000001</v>
      </c>
      <c r="C77" s="4">
        <v>48183.400000000009</v>
      </c>
      <c r="D77" s="4">
        <v>34280.789999999994</v>
      </c>
      <c r="E77" s="4">
        <v>19021.84</v>
      </c>
      <c r="F77" s="4">
        <v>53798.072499999995</v>
      </c>
      <c r="G77" s="4">
        <v>8916.7050000000017</v>
      </c>
      <c r="H77" s="4">
        <v>11.739000000000001</v>
      </c>
      <c r="I77" t="str">
        <f t="shared" si="1"/>
        <v>Normal</v>
      </c>
      <c r="J77" s="4">
        <f>IF(Table2[[#This Row],[VIX]]&gt;(AVERAGE(Table2[VIX]) ), 1,0)</f>
        <v>0</v>
      </c>
      <c r="M77">
        <f>IF(Table2[[#This Row],[VIX]]&gt;AVERAGE(Table2[VIX]),1,0)</f>
        <v>0</v>
      </c>
      <c r="N77" t="str">
        <f>IF(Table2[[#This Row],[VIX]]&gt;AVERAGE(Table2[VIX]),"Uncertain","Normal")</f>
        <v>Normal</v>
      </c>
    </row>
    <row r="78" spans="1:14" x14ac:dyDescent="0.3">
      <c r="A78" s="3" t="s">
        <v>83</v>
      </c>
      <c r="B78" s="4">
        <v>23100.995454545453</v>
      </c>
      <c r="C78" s="4">
        <v>48364.570454545457</v>
      </c>
      <c r="D78" s="4">
        <v>33343.340909090912</v>
      </c>
      <c r="E78" s="4">
        <v>19151.202272727274</v>
      </c>
      <c r="F78" s="4">
        <v>55058.931818181816</v>
      </c>
      <c r="G78" s="4">
        <v>9482.1590909090901</v>
      </c>
      <c r="H78" s="4">
        <v>20.159772727272728</v>
      </c>
      <c r="I78" t="str">
        <f t="shared" si="1"/>
        <v>Uncertainity</v>
      </c>
      <c r="J78" s="4">
        <f>IF(Table2[[#This Row],[VIX]]&gt;(AVERAGE(Table2[VIX]) ), 1,0)</f>
        <v>1</v>
      </c>
      <c r="M78">
        <f>IF(Table2[[#This Row],[VIX]]&gt;AVERAGE(Table2[VIX]),1,0)</f>
        <v>1</v>
      </c>
      <c r="N78" t="str">
        <f>IF(Table2[[#This Row],[VIX]]&gt;AVERAGE(Table2[VIX]),"Uncertain","Normal")</f>
        <v>Uncertain</v>
      </c>
    </row>
    <row r="79" spans="1:14" hidden="1" x14ac:dyDescent="0.3">
      <c r="A79" s="3" t="s">
        <v>84</v>
      </c>
      <c r="B79" s="4">
        <v>24994.794736842108</v>
      </c>
      <c r="C79" s="4">
        <v>50679.281578947361</v>
      </c>
      <c r="D79" s="4">
        <v>34649.447368421053</v>
      </c>
      <c r="E79" s="4">
        <v>19645.389473684208</v>
      </c>
      <c r="F79" s="4">
        <v>56807.834210526322</v>
      </c>
      <c r="G79" s="4">
        <v>9781.75</v>
      </c>
      <c r="H79" s="4">
        <v>15.562368421052632</v>
      </c>
      <c r="I79" t="str">
        <f t="shared" si="1"/>
        <v>Normal</v>
      </c>
      <c r="J79" s="4">
        <f>IF(Table2[[#This Row],[VIX]]&gt;(AVERAGE(Table2[VIX]) ), 1,0)</f>
        <v>0</v>
      </c>
      <c r="M79">
        <f>IF(Table2[[#This Row],[VIX]]&gt;AVERAGE(Table2[VIX]),1,0)</f>
        <v>0</v>
      </c>
      <c r="N79" t="str">
        <f>IF(Table2[[#This Row],[VIX]]&gt;AVERAGE(Table2[VIX]),"Uncertain","Normal")</f>
        <v>Normal</v>
      </c>
    </row>
    <row r="80" spans="1:14" hidden="1" x14ac:dyDescent="0.3">
      <c r="A80" s="3" t="s">
        <v>85</v>
      </c>
      <c r="B80" s="4">
        <v>25549.402272727271</v>
      </c>
      <c r="C80" s="4">
        <v>52140.361363636373</v>
      </c>
      <c r="D80" s="4">
        <v>38971.652272727275</v>
      </c>
      <c r="E80" s="4">
        <v>20811.165909090902</v>
      </c>
      <c r="F80" s="4">
        <v>60091.206818181796</v>
      </c>
      <c r="G80" s="4">
        <v>9626.2977272727276</v>
      </c>
      <c r="H80" s="4">
        <v>13.540454545454542</v>
      </c>
      <c r="I80" t="str">
        <f t="shared" si="1"/>
        <v>Normal</v>
      </c>
      <c r="J80" s="4">
        <f>IF(Table2[[#This Row],[VIX]]&gt;(AVERAGE(Table2[VIX]) ), 1,0)</f>
        <v>0</v>
      </c>
      <c r="M80">
        <f>IF(Table2[[#This Row],[VIX]]&gt;AVERAGE(Table2[VIX]),1,0)</f>
        <v>0</v>
      </c>
      <c r="N80" t="str">
        <f>IF(Table2[[#This Row],[VIX]]&gt;AVERAGE(Table2[VIX]),"Uncertain","Normal")</f>
        <v>Normal</v>
      </c>
    </row>
    <row r="81" spans="1:14" hidden="1" x14ac:dyDescent="0.3">
      <c r="A81" s="3" t="s">
        <v>86</v>
      </c>
      <c r="B81" s="4">
        <v>25498.928571428565</v>
      </c>
      <c r="C81" s="4">
        <v>50667.590476190475</v>
      </c>
      <c r="D81" s="4">
        <v>40530.564285714288</v>
      </c>
      <c r="E81" s="4">
        <v>22413.547619047615</v>
      </c>
      <c r="F81" s="4">
        <v>62400.228571428561</v>
      </c>
      <c r="G81" s="4">
        <v>9192.2809523809537</v>
      </c>
      <c r="H81" s="4">
        <v>14.900833333333335</v>
      </c>
      <c r="I81" t="str">
        <f t="shared" si="1"/>
        <v>Normal</v>
      </c>
      <c r="J81" s="4">
        <f>IF(Table2[[#This Row],[VIX]]&gt;(AVERAGE(Table2[VIX]) ), 1,0)</f>
        <v>0</v>
      </c>
      <c r="M81">
        <f>IF(Table2[[#This Row],[VIX]]&gt;AVERAGE(Table2[VIX]),1,0)</f>
        <v>0</v>
      </c>
      <c r="N81" t="str">
        <f>IF(Table2[[#This Row],[VIX]]&gt;AVERAGE(Table2[VIX]),"Uncertain","Normal")</f>
        <v>Normal</v>
      </c>
    </row>
    <row r="82" spans="1:14" hidden="1" x14ac:dyDescent="0.3">
      <c r="A82" s="3" t="s">
        <v>87</v>
      </c>
      <c r="B82" s="4">
        <v>26184.609523809526</v>
      </c>
      <c r="C82" s="4">
        <v>52427.435714285733</v>
      </c>
      <c r="D82" s="4">
        <v>42492.988095238099</v>
      </c>
      <c r="E82" s="4">
        <v>23346.559523809519</v>
      </c>
      <c r="F82" s="4">
        <v>64856.649999999994</v>
      </c>
      <c r="G82" s="4">
        <v>9431.6357142857141</v>
      </c>
      <c r="H82" s="4">
        <v>13.286547619047621</v>
      </c>
      <c r="I82" t="str">
        <f t="shared" si="1"/>
        <v>Normal</v>
      </c>
      <c r="J82" s="4">
        <f>IF(Table2[[#This Row],[VIX]]&gt;(AVERAGE(Table2[VIX]) ), 1,0)</f>
        <v>0</v>
      </c>
      <c r="M82">
        <f>IF(Table2[[#This Row],[VIX]]&gt;AVERAGE(Table2[VIX]),1,0)</f>
        <v>0</v>
      </c>
      <c r="N82" t="str">
        <f>IF(Table2[[#This Row],[VIX]]&gt;AVERAGE(Table2[VIX]),"Uncertain","Normal")</f>
        <v>Normal</v>
      </c>
    </row>
    <row r="83" spans="1:14" hidden="1" x14ac:dyDescent="0.3">
      <c r="A83" s="3" t="s">
        <v>88</v>
      </c>
      <c r="B83" s="4">
        <v>25301.818181818177</v>
      </c>
      <c r="C83" s="4">
        <v>51544.872727272748</v>
      </c>
      <c r="D83" s="4">
        <v>42087.552272727276</v>
      </c>
      <c r="E83" s="4">
        <v>23294.995454545457</v>
      </c>
      <c r="F83" s="4">
        <v>61409.97954545456</v>
      </c>
      <c r="G83" s="4">
        <v>9651.8613636363661</v>
      </c>
      <c r="H83" s="4">
        <v>13.932386363636363</v>
      </c>
      <c r="I83" t="str">
        <f t="shared" si="1"/>
        <v>Normal</v>
      </c>
      <c r="J83" s="4">
        <f>IF(Table2[[#This Row],[VIX]]&gt;(AVERAGE(Table2[VIX]) ), 1,0)</f>
        <v>0</v>
      </c>
      <c r="M83">
        <f>IF(Table2[[#This Row],[VIX]]&gt;AVERAGE(Table2[VIX]),1,0)</f>
        <v>0</v>
      </c>
      <c r="N83" t="str">
        <f>IF(Table2[[#This Row],[VIX]]&gt;AVERAGE(Table2[VIX]),"Uncertain","Normal")</f>
        <v>Normal</v>
      </c>
    </row>
    <row r="84" spans="1:14" hidden="1" x14ac:dyDescent="0.3">
      <c r="A84" s="3" t="s">
        <v>89</v>
      </c>
      <c r="B84" s="4">
        <v>23468.718421052632</v>
      </c>
      <c r="C84" s="4">
        <v>51439.778947368424</v>
      </c>
      <c r="D84" s="4">
        <v>42282.1</v>
      </c>
      <c r="E84" s="4">
        <v>22368.610526315784</v>
      </c>
      <c r="F84" s="4">
        <v>57547.813157894736</v>
      </c>
      <c r="G84" s="4">
        <v>9090.7105263157882</v>
      </c>
      <c r="H84" s="4">
        <v>15.254736842105265</v>
      </c>
      <c r="I84" t="str">
        <f t="shared" si="1"/>
        <v>Normal</v>
      </c>
      <c r="J84" s="4">
        <f>IF(Table2[[#This Row],[VIX]]&gt;(AVERAGE(Table2[VIX]) ), 1,0)</f>
        <v>0</v>
      </c>
      <c r="M84">
        <f>IF(Table2[[#This Row],[VIX]]&gt;AVERAGE(Table2[VIX]),1,0)</f>
        <v>0</v>
      </c>
      <c r="N84" t="str">
        <f>IF(Table2[[#This Row],[VIX]]&gt;AVERAGE(Table2[VIX]),"Uncertain","Normal")</f>
        <v>Normal</v>
      </c>
    </row>
    <row r="85" spans="1:14" hidden="1" x14ac:dyDescent="0.3">
      <c r="A85" s="3" t="s">
        <v>90</v>
      </c>
      <c r="B85" s="4">
        <v>23351.476190476187</v>
      </c>
      <c r="C85" s="4">
        <v>52385.614285714284</v>
      </c>
      <c r="D85" s="4">
        <v>44541.176190476188</v>
      </c>
      <c r="E85" s="4">
        <v>22631.540476190479</v>
      </c>
      <c r="F85" s="4">
        <v>56718.361904761899</v>
      </c>
      <c r="G85" s="4">
        <v>9121.3761904761905</v>
      </c>
      <c r="H85" s="4">
        <v>14.020714285714288</v>
      </c>
      <c r="I85" t="str">
        <f t="shared" si="1"/>
        <v>Normal</v>
      </c>
      <c r="J85" s="17">
        <f>IF(Table2[[#This Row],[VIX]]&gt;(AVERAGE(Table2[VIX]) ), 1,0)</f>
        <v>0</v>
      </c>
      <c r="M85">
        <f>IF(Table2[[#This Row],[VIX]]&gt;AVERAGE(Table2[VIX]),1,0)</f>
        <v>0</v>
      </c>
      <c r="N85" t="str">
        <f>IF(Table2[[#This Row],[VIX]]&gt;AVERAGE(Table2[VIX]),"Uncertain","Normal")</f>
        <v>Normal</v>
      </c>
    </row>
    <row r="86" spans="1:14" x14ac:dyDescent="0.3">
      <c r="M86" t="e">
        <f>IF(Table2[[#This Row],[VIX]]&gt;AVERAGE(Table2[VIX]),1,0)</f>
        <v>#VALUE!</v>
      </c>
      <c r="N86" t="e">
        <f>IF(Table2[[#This Row],[VIX]]&gt;AVERAGE(Table2[VIX]),"Uncertain","Normal")</f>
        <v>#VALUE!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D1A8E-F216-4123-B6E3-ECA8DF9680D9}">
  <dimension ref="A1:J17"/>
  <sheetViews>
    <sheetView workbookViewId="0">
      <selection sqref="A1:E7"/>
    </sheetView>
  </sheetViews>
  <sheetFormatPr defaultRowHeight="14.4" x14ac:dyDescent="0.3"/>
  <cols>
    <col min="4" max="4" width="16.21875" customWidth="1"/>
    <col min="5" max="5" width="28" customWidth="1"/>
    <col min="9" max="9" width="17.33203125" customWidth="1"/>
    <col min="10" max="10" width="28.33203125" customWidth="1"/>
  </cols>
  <sheetData>
    <row r="1" spans="1:10" x14ac:dyDescent="0.3">
      <c r="A1" s="5" t="s">
        <v>106</v>
      </c>
      <c r="B1" s="5" t="s">
        <v>104</v>
      </c>
      <c r="C1" s="5" t="s">
        <v>108</v>
      </c>
      <c r="D1" s="5" t="s">
        <v>109</v>
      </c>
      <c r="E1" s="5" t="s">
        <v>114</v>
      </c>
      <c r="I1" s="21" t="s">
        <v>127</v>
      </c>
    </row>
    <row r="2" spans="1:10" x14ac:dyDescent="0.3">
      <c r="A2" s="3" t="s">
        <v>98</v>
      </c>
      <c r="B2" s="11">
        <v>6.1004237277468425</v>
      </c>
      <c r="C2" s="3">
        <f>RANK(B2,$B$2:$B$7,0)</f>
        <v>2</v>
      </c>
      <c r="D2" s="11">
        <v>1.0204974534577098</v>
      </c>
      <c r="E2" s="23" t="s">
        <v>115</v>
      </c>
      <c r="I2" s="22" t="s">
        <v>120</v>
      </c>
      <c r="J2" s="22" t="s">
        <v>121</v>
      </c>
    </row>
    <row r="3" spans="1:10" x14ac:dyDescent="0.3">
      <c r="A3" s="3" t="s">
        <v>99</v>
      </c>
      <c r="B3" s="11">
        <v>5.7137013774414775</v>
      </c>
      <c r="C3" s="3">
        <f t="shared" ref="C3:C7" si="0">RANK(B3,$B$2:$B$7,0)</f>
        <v>3</v>
      </c>
      <c r="D3" s="11">
        <v>1.000947337284795</v>
      </c>
      <c r="E3" s="23" t="s">
        <v>115</v>
      </c>
      <c r="I3" s="23" t="s">
        <v>122</v>
      </c>
      <c r="J3" s="23" t="s">
        <v>119</v>
      </c>
    </row>
    <row r="4" spans="1:10" x14ac:dyDescent="0.3">
      <c r="A4" s="3" t="s">
        <v>100</v>
      </c>
      <c r="B4" s="11">
        <v>5.4391798465849419</v>
      </c>
      <c r="C4" s="3">
        <f t="shared" si="0"/>
        <v>4</v>
      </c>
      <c r="D4" s="11">
        <v>1.7052292990012272</v>
      </c>
      <c r="E4" s="23" t="s">
        <v>116</v>
      </c>
      <c r="I4" s="23" t="s">
        <v>123</v>
      </c>
      <c r="J4" s="23" t="s">
        <v>115</v>
      </c>
    </row>
    <row r="5" spans="1:10" x14ac:dyDescent="0.3">
      <c r="A5" s="3" t="s">
        <v>101</v>
      </c>
      <c r="B5" s="11">
        <v>5.0732182919898152</v>
      </c>
      <c r="C5" s="3">
        <f t="shared" si="0"/>
        <v>5</v>
      </c>
      <c r="D5" s="11">
        <v>1.1409130462026225</v>
      </c>
      <c r="E5" s="23" t="s">
        <v>117</v>
      </c>
      <c r="I5" s="23" t="s">
        <v>124</v>
      </c>
      <c r="J5" s="23" t="s">
        <v>116</v>
      </c>
    </row>
    <row r="6" spans="1:10" x14ac:dyDescent="0.3">
      <c r="A6" s="3" t="s">
        <v>102</v>
      </c>
      <c r="B6" s="11">
        <v>3.943533334358972</v>
      </c>
      <c r="C6" s="3">
        <f t="shared" si="0"/>
        <v>6</v>
      </c>
      <c r="D6" s="11">
        <v>0.96576189371394328</v>
      </c>
      <c r="E6" s="23" t="s">
        <v>118</v>
      </c>
      <c r="I6" s="23" t="s">
        <v>125</v>
      </c>
      <c r="J6" s="23" t="s">
        <v>126</v>
      </c>
    </row>
    <row r="7" spans="1:10" x14ac:dyDescent="0.3">
      <c r="A7" s="3" t="s">
        <v>103</v>
      </c>
      <c r="B7" s="11">
        <v>7.80198996902228</v>
      </c>
      <c r="C7" s="3">
        <f t="shared" si="0"/>
        <v>1</v>
      </c>
      <c r="D7" s="11">
        <v>1.2795058949756899</v>
      </c>
      <c r="E7" s="23" t="s">
        <v>119</v>
      </c>
    </row>
    <row r="11" spans="1:10" x14ac:dyDescent="0.3">
      <c r="A11" s="18"/>
      <c r="B11" s="18"/>
      <c r="C11" s="18"/>
      <c r="D11" s="18"/>
      <c r="E11" s="18"/>
    </row>
    <row r="12" spans="1:10" x14ac:dyDescent="0.3">
      <c r="A12" s="19"/>
      <c r="B12" s="20"/>
      <c r="C12" s="19"/>
      <c r="D12" s="20"/>
      <c r="E12" s="19"/>
    </row>
    <row r="13" spans="1:10" x14ac:dyDescent="0.3">
      <c r="A13" s="19"/>
      <c r="B13" s="20"/>
      <c r="C13" s="19"/>
      <c r="D13" s="20"/>
      <c r="E13" s="19"/>
    </row>
    <row r="14" spans="1:10" x14ac:dyDescent="0.3">
      <c r="A14" s="19"/>
      <c r="B14" s="20"/>
      <c r="C14" s="19"/>
      <c r="D14" s="20"/>
      <c r="E14" s="19"/>
    </row>
    <row r="15" spans="1:10" x14ac:dyDescent="0.3">
      <c r="A15" s="19"/>
      <c r="B15" s="20"/>
      <c r="C15" s="19"/>
      <c r="D15" s="20"/>
      <c r="E15" s="19"/>
    </row>
    <row r="16" spans="1:10" x14ac:dyDescent="0.3">
      <c r="A16" s="19"/>
      <c r="B16" s="20"/>
      <c r="C16" s="19"/>
      <c r="D16" s="20"/>
      <c r="E16" s="19"/>
    </row>
    <row r="17" spans="1:5" x14ac:dyDescent="0.3">
      <c r="A17" s="19"/>
      <c r="B17" s="20"/>
      <c r="C17" s="19"/>
      <c r="D17" s="20"/>
      <c r="E17" s="19"/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4D284-F0A3-457A-9927-8C5AF37BE15D}">
  <dimension ref="A1:R85"/>
  <sheetViews>
    <sheetView topLeftCell="F3" workbookViewId="0">
      <selection activeCell="G33" sqref="G33"/>
    </sheetView>
  </sheetViews>
  <sheetFormatPr defaultColWidth="16.21875" defaultRowHeight="14.4" x14ac:dyDescent="0.3"/>
  <cols>
    <col min="12" max="12" width="20.33203125" customWidth="1"/>
    <col min="13" max="13" width="26" customWidth="1"/>
    <col min="14" max="14" width="33.44140625" customWidth="1"/>
  </cols>
  <sheetData>
    <row r="1" spans="1:18" x14ac:dyDescent="0.3">
      <c r="A1" s="3" t="s">
        <v>0</v>
      </c>
      <c r="B1" s="3" t="s">
        <v>91</v>
      </c>
      <c r="C1" s="3" t="s">
        <v>92</v>
      </c>
      <c r="D1" s="3" t="s">
        <v>93</v>
      </c>
      <c r="E1" s="3" t="s">
        <v>94</v>
      </c>
      <c r="F1" s="3" t="s">
        <v>95</v>
      </c>
      <c r="G1" s="3" t="s">
        <v>96</v>
      </c>
      <c r="H1" s="4" t="s">
        <v>111</v>
      </c>
      <c r="K1" s="30" t="s">
        <v>128</v>
      </c>
      <c r="L1" s="30"/>
      <c r="M1" s="30"/>
      <c r="N1" s="30"/>
    </row>
    <row r="2" spans="1:18" x14ac:dyDescent="0.3">
      <c r="A2" s="3" t="s">
        <v>7</v>
      </c>
      <c r="B2" s="3"/>
      <c r="C2" s="3"/>
      <c r="D2" s="3"/>
      <c r="E2" s="3"/>
      <c r="F2" s="3"/>
      <c r="G2" s="3"/>
      <c r="H2" s="4">
        <v>14.73363636</v>
      </c>
      <c r="K2" s="22" t="s">
        <v>129</v>
      </c>
      <c r="L2" s="22" t="s">
        <v>130</v>
      </c>
      <c r="M2" s="22" t="s">
        <v>140</v>
      </c>
      <c r="N2" s="22" t="s">
        <v>131</v>
      </c>
      <c r="O2" s="18"/>
      <c r="P2" s="18"/>
    </row>
    <row r="3" spans="1:18" x14ac:dyDescent="0.3">
      <c r="A3" s="3" t="s">
        <v>8</v>
      </c>
      <c r="B3" s="11">
        <v>-4.9339364257365643</v>
      </c>
      <c r="C3" s="11">
        <v>-2.8353155528428662</v>
      </c>
      <c r="D3" s="11">
        <v>2.2917466191310214</v>
      </c>
      <c r="E3" s="11">
        <v>-5.9766532830479902</v>
      </c>
      <c r="F3" s="11">
        <v>-1.8077192902749266</v>
      </c>
      <c r="G3" s="11">
        <v>-2.9265140316875211</v>
      </c>
      <c r="H3" s="4">
        <v>16.292894740000001</v>
      </c>
      <c r="K3" s="23" t="s">
        <v>98</v>
      </c>
      <c r="L3" s="7">
        <v>-0.24032315008837626</v>
      </c>
      <c r="M3" s="23" t="s">
        <v>132</v>
      </c>
      <c r="N3" s="23" t="s">
        <v>136</v>
      </c>
      <c r="O3" s="19"/>
      <c r="P3" s="19"/>
    </row>
    <row r="4" spans="1:18" x14ac:dyDescent="0.3">
      <c r="A4" s="3" t="s">
        <v>9</v>
      </c>
      <c r="B4" s="11">
        <v>-2.6922836346158214</v>
      </c>
      <c r="C4" s="11">
        <v>-4.4353939789348056</v>
      </c>
      <c r="D4" s="11">
        <v>0.23248651590711983</v>
      </c>
      <c r="E4" s="11">
        <v>-5.4443567468664709</v>
      </c>
      <c r="F4" s="11">
        <v>-2.0064357055797712</v>
      </c>
      <c r="G4" s="11">
        <v>-7.5522172518294903</v>
      </c>
      <c r="H4" s="4">
        <v>15.11684211</v>
      </c>
      <c r="K4" s="23" t="s">
        <v>99</v>
      </c>
      <c r="L4" s="7">
        <v>-0.38545002392156369</v>
      </c>
      <c r="M4" s="23" t="s">
        <v>132</v>
      </c>
      <c r="N4" s="27" t="s">
        <v>135</v>
      </c>
      <c r="O4" s="19"/>
      <c r="P4" s="19"/>
    </row>
    <row r="5" spans="1:18" x14ac:dyDescent="0.3">
      <c r="A5" s="3" t="s">
        <v>10</v>
      </c>
      <c r="B5" s="11">
        <v>4.9585256544671976</v>
      </c>
      <c r="C5" s="11">
        <v>2.3622487496607469</v>
      </c>
      <c r="D5" s="11">
        <v>4.3988150243367006</v>
      </c>
      <c r="E5" s="11">
        <v>2.1170138205775126</v>
      </c>
      <c r="F5" s="11">
        <v>4.9499178778132427</v>
      </c>
      <c r="G5" s="11">
        <v>0.94428306510321547</v>
      </c>
      <c r="H5" s="4">
        <v>13.912023810000001</v>
      </c>
      <c r="K5" s="23" t="s">
        <v>100</v>
      </c>
      <c r="L5" s="7">
        <v>-0.25823347197322649</v>
      </c>
      <c r="M5" s="23" t="s">
        <v>133</v>
      </c>
      <c r="N5" s="23" t="s">
        <v>136</v>
      </c>
      <c r="O5" s="19"/>
      <c r="P5" s="19"/>
    </row>
    <row r="6" spans="1:18" x14ac:dyDescent="0.3">
      <c r="A6" s="3" t="s">
        <v>11</v>
      </c>
      <c r="B6" s="11">
        <v>-2.4708199877724222</v>
      </c>
      <c r="C6" s="11">
        <v>4.3999803843390239</v>
      </c>
      <c r="D6" s="11">
        <v>2.3413692840131453</v>
      </c>
      <c r="E6" s="11">
        <v>-3.4103660390418162</v>
      </c>
      <c r="F6" s="11">
        <v>3.9596101265510288</v>
      </c>
      <c r="G6" s="11">
        <v>-2.2052287233226648</v>
      </c>
      <c r="H6" s="4">
        <v>13.57659091</v>
      </c>
      <c r="K6" s="23" t="s">
        <v>101</v>
      </c>
      <c r="L6" s="7">
        <v>3.1626268271245997E-2</v>
      </c>
      <c r="M6" s="23" t="s">
        <v>134</v>
      </c>
      <c r="N6" s="27" t="s">
        <v>141</v>
      </c>
      <c r="O6" s="19"/>
      <c r="P6" s="19"/>
    </row>
    <row r="7" spans="1:18" x14ac:dyDescent="0.3">
      <c r="A7" s="3" t="s">
        <v>12</v>
      </c>
      <c r="B7" s="11">
        <v>-0.80751195915688712</v>
      </c>
      <c r="C7" s="11">
        <v>1.4493022609565418</v>
      </c>
      <c r="D7" s="11">
        <v>2.1372157074321487</v>
      </c>
      <c r="E7" s="11">
        <v>5.0523242879314507</v>
      </c>
      <c r="F7" s="11">
        <v>0.35971545153585793</v>
      </c>
      <c r="G7" s="11">
        <v>-3.150522136417095</v>
      </c>
      <c r="H7" s="4">
        <v>12.82</v>
      </c>
      <c r="K7" s="23" t="s">
        <v>102</v>
      </c>
      <c r="L7" s="7">
        <v>-0.19713625959881639</v>
      </c>
      <c r="M7" s="23" t="s">
        <v>134</v>
      </c>
      <c r="N7" s="23" t="s">
        <v>139</v>
      </c>
      <c r="O7" s="19"/>
      <c r="P7" s="19"/>
    </row>
    <row r="8" spans="1:18" x14ac:dyDescent="0.3">
      <c r="A8" s="3" t="s">
        <v>13</v>
      </c>
      <c r="B8" s="11">
        <v>-1.3227994997957258</v>
      </c>
      <c r="C8" s="11">
        <v>1.6592732634983682</v>
      </c>
      <c r="D8" s="11">
        <v>4.4103090176891095</v>
      </c>
      <c r="E8" s="11">
        <v>2.1273143749014656</v>
      </c>
      <c r="F8" s="11">
        <v>3.5578270437505082</v>
      </c>
      <c r="G8" s="11">
        <v>-6.8981470846020283</v>
      </c>
      <c r="H8" s="4">
        <v>12.73079545</v>
      </c>
      <c r="K8" s="23" t="s">
        <v>103</v>
      </c>
      <c r="L8" s="7">
        <v>-0.20108172869849159</v>
      </c>
      <c r="M8" s="23" t="s">
        <v>137</v>
      </c>
      <c r="N8" s="27" t="s">
        <v>138</v>
      </c>
      <c r="O8" s="19"/>
      <c r="P8" s="19"/>
    </row>
    <row r="9" spans="1:18" x14ac:dyDescent="0.3">
      <c r="A9" s="3" t="s">
        <v>14</v>
      </c>
      <c r="B9" s="11">
        <v>-0.15659809802728308</v>
      </c>
      <c r="C9" s="11">
        <v>4.0247229327130354</v>
      </c>
      <c r="D9" s="11">
        <v>4.2426531754961001</v>
      </c>
      <c r="E9" s="11">
        <v>6.2601306598984223</v>
      </c>
      <c r="F9" s="11">
        <v>7.5206261319867833</v>
      </c>
      <c r="G9" s="11">
        <v>5.8590156861585845</v>
      </c>
      <c r="H9" s="4">
        <v>12.717380950000001</v>
      </c>
    </row>
    <row r="10" spans="1:18" x14ac:dyDescent="0.3">
      <c r="A10" s="3" t="s">
        <v>15</v>
      </c>
      <c r="B10" s="11">
        <v>-3.5656430460076431</v>
      </c>
      <c r="C10" s="11">
        <v>-5.4505710609847169</v>
      </c>
      <c r="D10" s="11">
        <v>6.5948976804845714</v>
      </c>
      <c r="E10" s="11">
        <v>7.7807446405366107</v>
      </c>
      <c r="F10" s="11">
        <v>-4.0721799745663949</v>
      </c>
      <c r="G10" s="11">
        <v>5.1996327465939745</v>
      </c>
      <c r="H10" s="4">
        <v>15.03486111</v>
      </c>
    </row>
    <row r="11" spans="1:18" x14ac:dyDescent="0.3">
      <c r="A11" s="3" t="s">
        <v>16</v>
      </c>
      <c r="B11" s="11">
        <v>-15.341985559276333</v>
      </c>
      <c r="C11" s="11">
        <v>-5.5927723620039496</v>
      </c>
      <c r="D11" s="11">
        <v>-7.5648310179329101</v>
      </c>
      <c r="E11" s="11">
        <v>-7.49331876938676</v>
      </c>
      <c r="F11" s="11">
        <v>-7.3871166043074217</v>
      </c>
      <c r="G11" s="11">
        <v>-6.9436070966819958</v>
      </c>
      <c r="H11" s="4">
        <v>19.152619049999998</v>
      </c>
      <c r="K11" s="29" t="s">
        <v>128</v>
      </c>
      <c r="L11" s="29"/>
      <c r="M11" s="29"/>
      <c r="N11" s="29"/>
      <c r="O11" s="29"/>
      <c r="P11" s="29"/>
      <c r="Q11" s="29"/>
      <c r="R11" s="29"/>
    </row>
    <row r="12" spans="1:18" x14ac:dyDescent="0.3">
      <c r="A12" s="3" t="s">
        <v>17</v>
      </c>
      <c r="B12" s="11">
        <v>2.6798888037271942</v>
      </c>
      <c r="C12" s="11">
        <v>4.2745954884003909</v>
      </c>
      <c r="D12" s="11">
        <v>-2.6598263272330636</v>
      </c>
      <c r="E12" s="11">
        <v>-2.8612104198256745</v>
      </c>
      <c r="F12" s="11">
        <v>2.9336475851003234</v>
      </c>
      <c r="G12" s="11">
        <v>-2.0090194784220667</v>
      </c>
      <c r="H12" s="4">
        <v>18.829000000000001</v>
      </c>
      <c r="K12" s="25"/>
      <c r="L12" s="25" t="s">
        <v>91</v>
      </c>
      <c r="M12" s="25" t="s">
        <v>92</v>
      </c>
      <c r="N12" s="25" t="s">
        <v>93</v>
      </c>
      <c r="O12" s="25" t="s">
        <v>94</v>
      </c>
      <c r="P12" s="25" t="s">
        <v>95</v>
      </c>
      <c r="Q12" s="25" t="s">
        <v>96</v>
      </c>
      <c r="R12" s="25" t="s">
        <v>111</v>
      </c>
    </row>
    <row r="13" spans="1:18" x14ac:dyDescent="0.3">
      <c r="A13" s="3" t="s">
        <v>18</v>
      </c>
      <c r="B13" s="11">
        <v>0.54431635229475417</v>
      </c>
      <c r="C13" s="11">
        <v>2.8139125066390962</v>
      </c>
      <c r="D13" s="11">
        <v>1.2746687286426865</v>
      </c>
      <c r="E13" s="11">
        <v>-6.106982888926769</v>
      </c>
      <c r="F13" s="11">
        <v>3.384576046627636</v>
      </c>
      <c r="G13" s="11">
        <v>-5.7084062223726928</v>
      </c>
      <c r="H13" s="4">
        <v>16.531500000000001</v>
      </c>
      <c r="K13" s="3" t="s">
        <v>91</v>
      </c>
      <c r="L13" s="3">
        <v>1</v>
      </c>
      <c r="M13" s="3"/>
      <c r="N13" s="3"/>
      <c r="O13" s="3"/>
      <c r="P13" s="3"/>
      <c r="Q13" s="3"/>
      <c r="R13" s="3"/>
    </row>
    <row r="14" spans="1:18" x14ac:dyDescent="0.3">
      <c r="A14" s="3" t="s">
        <v>19</v>
      </c>
      <c r="B14" s="11">
        <v>-5.3877182385020719</v>
      </c>
      <c r="C14" s="11">
        <v>1.7930244453918467</v>
      </c>
      <c r="D14" s="11">
        <v>0.66518899157563349</v>
      </c>
      <c r="E14" s="11">
        <v>0.48671213137690467</v>
      </c>
      <c r="F14" s="11">
        <v>0.36977355814840046</v>
      </c>
      <c r="G14" s="11">
        <v>-5.920668582263704</v>
      </c>
      <c r="H14" s="4">
        <v>16.737065220000002</v>
      </c>
      <c r="K14" s="3" t="s">
        <v>92</v>
      </c>
      <c r="L14" s="3">
        <v>0.72371591095235632</v>
      </c>
      <c r="M14" s="3">
        <v>1</v>
      </c>
      <c r="N14" s="3"/>
      <c r="O14" s="3"/>
      <c r="P14" s="3"/>
      <c r="Q14" s="3"/>
      <c r="R14" s="3"/>
    </row>
    <row r="15" spans="1:18" x14ac:dyDescent="0.3">
      <c r="A15" s="3" t="s">
        <v>20</v>
      </c>
      <c r="B15" s="11">
        <v>-4.2228370202446435</v>
      </c>
      <c r="C15" s="11">
        <v>-0.9332652908005411</v>
      </c>
      <c r="D15" s="11">
        <v>7.6945331914694926</v>
      </c>
      <c r="E15" s="11">
        <v>-0.27377323512955448</v>
      </c>
      <c r="F15" s="11">
        <v>-2.6330013142744506</v>
      </c>
      <c r="G15" s="11">
        <v>-5.6770468020642211</v>
      </c>
      <c r="H15" s="4">
        <v>16.404</v>
      </c>
      <c r="K15" s="3" t="s">
        <v>93</v>
      </c>
      <c r="L15" s="3">
        <v>0.4252073332109077</v>
      </c>
      <c r="M15" s="3">
        <v>0.39788897900790288</v>
      </c>
      <c r="N15" s="3">
        <v>1</v>
      </c>
      <c r="O15" s="3"/>
      <c r="P15" s="3"/>
      <c r="Q15" s="3"/>
      <c r="R15" s="3"/>
    </row>
    <row r="16" spans="1:18" x14ac:dyDescent="0.3">
      <c r="A16" s="3" t="s">
        <v>21</v>
      </c>
      <c r="B16" s="11">
        <v>2.5229262876337879</v>
      </c>
      <c r="C16" s="11">
        <v>7.1574385333644495</v>
      </c>
      <c r="D16" s="11">
        <v>-2.1050808148347535</v>
      </c>
      <c r="E16" s="11">
        <v>3.799947807804215</v>
      </c>
      <c r="F16" s="11">
        <v>2.0129829191999029</v>
      </c>
      <c r="G16" s="11">
        <v>7.7516307235052482</v>
      </c>
      <c r="H16" s="4">
        <v>15.989605259999999</v>
      </c>
      <c r="K16" s="3" t="s">
        <v>94</v>
      </c>
      <c r="L16" s="3">
        <v>0.36366485333788384</v>
      </c>
      <c r="M16" s="3">
        <v>0.12116680379931064</v>
      </c>
      <c r="N16" s="3">
        <v>0.38477808937110763</v>
      </c>
      <c r="O16" s="3">
        <v>1</v>
      </c>
      <c r="P16" s="3"/>
      <c r="Q16" s="3"/>
      <c r="R16" s="3"/>
    </row>
    <row r="17" spans="1:18" x14ac:dyDescent="0.3">
      <c r="A17" s="3" t="s">
        <v>22</v>
      </c>
      <c r="B17" s="11">
        <v>1.3146808964201711</v>
      </c>
      <c r="C17" s="11">
        <v>3.5116525996560899</v>
      </c>
      <c r="D17" s="11">
        <v>3.8876214706609553</v>
      </c>
      <c r="E17" s="11">
        <v>2.1248854063570932</v>
      </c>
      <c r="F17" s="11">
        <v>0.59965479641633068</v>
      </c>
      <c r="G17" s="11">
        <v>3.0109850531244313</v>
      </c>
      <c r="H17" s="4">
        <v>21.075263159999999</v>
      </c>
      <c r="K17" s="3" t="s">
        <v>95</v>
      </c>
      <c r="L17" s="3">
        <v>0.58537925097600696</v>
      </c>
      <c r="M17" s="3">
        <v>0.51948166034771748</v>
      </c>
      <c r="N17" s="3">
        <v>0.35087845147640101</v>
      </c>
      <c r="O17" s="3">
        <v>0.44572743940983717</v>
      </c>
      <c r="P17" s="3">
        <v>1</v>
      </c>
      <c r="Q17" s="3"/>
      <c r="R17" s="3"/>
    </row>
    <row r="18" spans="1:18" x14ac:dyDescent="0.3">
      <c r="A18" s="3" t="s">
        <v>23</v>
      </c>
      <c r="B18" s="11">
        <v>-5.1602734575714075</v>
      </c>
      <c r="C18" s="11">
        <v>0.17812085645258957</v>
      </c>
      <c r="D18" s="11">
        <v>-1.1895780658256427</v>
      </c>
      <c r="E18" s="11">
        <v>-6.4534279288549437</v>
      </c>
      <c r="F18" s="11">
        <v>-1.6550333297456266</v>
      </c>
      <c r="G18" s="11">
        <v>-5.6775765907119684</v>
      </c>
      <c r="H18" s="4">
        <v>23.216249999999999</v>
      </c>
      <c r="K18" s="3" t="s">
        <v>96</v>
      </c>
      <c r="L18" s="3">
        <v>0.59305510940483741</v>
      </c>
      <c r="M18" s="3">
        <v>0.6339927474569429</v>
      </c>
      <c r="N18" s="3">
        <v>0.42448909346261188</v>
      </c>
      <c r="O18" s="3">
        <v>0.47544909500235399</v>
      </c>
      <c r="P18" s="3">
        <v>0.41064004704280344</v>
      </c>
      <c r="Q18" s="3">
        <v>1</v>
      </c>
      <c r="R18" s="3"/>
    </row>
    <row r="19" spans="1:18" x14ac:dyDescent="0.3">
      <c r="A19" s="3" t="s">
        <v>24</v>
      </c>
      <c r="B19" s="11">
        <v>-1.9756573109792956</v>
      </c>
      <c r="C19" s="11">
        <v>2.9644289953401568</v>
      </c>
      <c r="D19" s="11">
        <v>1.9508808700472768</v>
      </c>
      <c r="E19" s="11">
        <v>-7.1381762978871457</v>
      </c>
      <c r="F19" s="11">
        <v>0.31234317191562433</v>
      </c>
      <c r="G19" s="11">
        <v>0.91274974166160261</v>
      </c>
      <c r="H19" s="4">
        <v>14.75210526</v>
      </c>
      <c r="K19" s="3" t="s">
        <v>111</v>
      </c>
      <c r="L19" s="3">
        <v>-0.24032315008837626</v>
      </c>
      <c r="M19" s="3">
        <v>-0.38545002392156369</v>
      </c>
      <c r="N19" s="3">
        <v>-0.25823347197322649</v>
      </c>
      <c r="O19" s="3">
        <v>3.1626268271245997E-2</v>
      </c>
      <c r="P19" s="3">
        <v>-0.19713625959881639</v>
      </c>
      <c r="Q19" s="3">
        <v>-0.20108172869849159</v>
      </c>
      <c r="R19" s="3">
        <v>1</v>
      </c>
    </row>
    <row r="20" spans="1:18" x14ac:dyDescent="0.3">
      <c r="A20" s="3" t="s">
        <v>25</v>
      </c>
      <c r="B20" s="11">
        <v>-7.0031611087133001</v>
      </c>
      <c r="C20" s="11">
        <v>-2.3091091871365794</v>
      </c>
      <c r="D20" s="11">
        <v>-4.2729109153278726</v>
      </c>
      <c r="E20" s="11">
        <v>-0.26389874697201193</v>
      </c>
      <c r="F20" s="11">
        <v>-1.874422622878662</v>
      </c>
      <c r="G20" s="11">
        <v>-5.0139030760655752</v>
      </c>
      <c r="H20" s="4">
        <v>12.985217390000001</v>
      </c>
    </row>
    <row r="21" spans="1:18" x14ac:dyDescent="0.3">
      <c r="A21" s="3" t="s">
        <v>26</v>
      </c>
      <c r="B21" s="11">
        <v>-6.7662022226858003</v>
      </c>
      <c r="C21" s="11">
        <v>-7.7966649770841094</v>
      </c>
      <c r="D21" s="11">
        <v>0.69462085573475463</v>
      </c>
      <c r="E21" s="11">
        <v>-3.3147030456069162</v>
      </c>
      <c r="F21" s="11">
        <v>-1.6820783583349252</v>
      </c>
      <c r="G21" s="11">
        <v>-15.691338208423723</v>
      </c>
      <c r="H21" s="4">
        <v>16.486000000000001</v>
      </c>
    </row>
    <row r="22" spans="1:18" x14ac:dyDescent="0.3">
      <c r="A22" s="3" t="s">
        <v>27</v>
      </c>
      <c r="B22" s="11">
        <v>4.6789470567663978</v>
      </c>
      <c r="C22" s="11">
        <v>1.4042842082309115</v>
      </c>
      <c r="D22" s="11">
        <v>-3.9702231245889369E-2</v>
      </c>
      <c r="E22" s="11">
        <v>1.5446080285535921</v>
      </c>
      <c r="F22" s="11">
        <v>2.4415908642401689</v>
      </c>
      <c r="G22" s="11">
        <v>2.2550029957924349</v>
      </c>
      <c r="H22" s="4">
        <v>16.02</v>
      </c>
    </row>
    <row r="23" spans="1:18" x14ac:dyDescent="0.3">
      <c r="A23" s="3" t="s">
        <v>28</v>
      </c>
      <c r="B23" s="11">
        <v>7.032069418481278</v>
      </c>
      <c r="C23" s="11">
        <v>2.2868886840541256</v>
      </c>
      <c r="D23" s="11">
        <v>-2.8934457048976689</v>
      </c>
      <c r="E23" s="11">
        <v>-5.2591178037006303</v>
      </c>
      <c r="F23" s="11">
        <v>5.6400302909606861</v>
      </c>
      <c r="G23" s="11">
        <v>-0.4119014040588927</v>
      </c>
      <c r="H23" s="4">
        <v>16.684000000000001</v>
      </c>
    </row>
    <row r="24" spans="1:18" x14ac:dyDescent="0.3">
      <c r="A24" s="3" t="s">
        <v>29</v>
      </c>
      <c r="B24" s="11">
        <v>4.6140284736059742</v>
      </c>
      <c r="C24" s="11">
        <v>7.5941158844427505</v>
      </c>
      <c r="D24" s="11">
        <v>0.74424777026300704</v>
      </c>
      <c r="E24" s="11">
        <v>5.7995363766635153</v>
      </c>
      <c r="F24" s="11">
        <v>1.1262947289688576</v>
      </c>
      <c r="G24" s="11">
        <v>7.584630558324255</v>
      </c>
      <c r="H24" s="4">
        <v>15.316125</v>
      </c>
    </row>
    <row r="25" spans="1:18" x14ac:dyDescent="0.3">
      <c r="A25" s="3" t="s">
        <v>30</v>
      </c>
      <c r="B25" s="11">
        <v>-1.5021129203861086</v>
      </c>
      <c r="C25" s="11">
        <v>2.7323438519824896</v>
      </c>
      <c r="D25" s="11">
        <v>0.88704850597076912</v>
      </c>
      <c r="E25" s="11">
        <v>0.72423372586745993</v>
      </c>
      <c r="F25" s="11">
        <v>-3.7900635761368915</v>
      </c>
      <c r="G25" s="11">
        <v>2.5976621345682003</v>
      </c>
      <c r="H25" s="4">
        <v>12.836547619999999</v>
      </c>
      <c r="L25" s="18"/>
      <c r="M25" s="18"/>
      <c r="N25" s="18"/>
      <c r="O25" s="18"/>
    </row>
    <row r="26" spans="1:18" x14ac:dyDescent="0.3">
      <c r="A26" s="3" t="s">
        <v>31</v>
      </c>
      <c r="B26" s="11">
        <v>2.1060643605026783</v>
      </c>
      <c r="C26" s="11">
        <v>-1.5048881612047049</v>
      </c>
      <c r="D26" s="11">
        <v>4.8818657525725566</v>
      </c>
      <c r="E26" s="11">
        <v>1.945644943684377</v>
      </c>
      <c r="F26" s="11">
        <v>1.5067177872431492</v>
      </c>
      <c r="G26" s="11">
        <v>5.4087828544218368</v>
      </c>
      <c r="H26" s="4">
        <v>14.942826086956501</v>
      </c>
      <c r="L26" s="19"/>
      <c r="M26" s="19"/>
      <c r="N26" s="19"/>
      <c r="O26" s="26"/>
    </row>
    <row r="27" spans="1:18" x14ac:dyDescent="0.3">
      <c r="A27" s="3" t="s">
        <v>32</v>
      </c>
      <c r="B27" s="11">
        <v>-5.8271937942960452</v>
      </c>
      <c r="C27" s="11">
        <v>-2.4516765592789613</v>
      </c>
      <c r="D27" s="11">
        <v>1.4442434498061463</v>
      </c>
      <c r="E27" s="11">
        <v>-0.24300700543888037</v>
      </c>
      <c r="F27" s="11">
        <v>-1.0504333449283496</v>
      </c>
      <c r="G27" s="11">
        <v>-8.0775396001413426</v>
      </c>
      <c r="H27" s="4">
        <v>15.359874999999999</v>
      </c>
      <c r="L27" s="19"/>
      <c r="M27" s="19"/>
      <c r="N27" s="19"/>
      <c r="O27" s="26"/>
    </row>
    <row r="28" spans="1:18" x14ac:dyDescent="0.3">
      <c r="A28" s="3" t="s">
        <v>33</v>
      </c>
      <c r="B28" s="11">
        <v>-25.234545491855371</v>
      </c>
      <c r="C28" s="11">
        <v>-25.229923931164521</v>
      </c>
      <c r="D28" s="11">
        <v>-18.616945678366541</v>
      </c>
      <c r="E28" s="11">
        <v>-10.175723493228315</v>
      </c>
      <c r="F28" s="11">
        <v>-13.328414765613608</v>
      </c>
      <c r="G28" s="11">
        <v>-29.16916556324874</v>
      </c>
      <c r="H28" s="4">
        <v>53.063571428571429</v>
      </c>
      <c r="L28" s="19"/>
      <c r="M28" s="19"/>
      <c r="N28" s="19"/>
      <c r="O28" s="26"/>
    </row>
    <row r="29" spans="1:18" x14ac:dyDescent="0.3">
      <c r="A29" s="3" t="s">
        <v>34</v>
      </c>
      <c r="B29" s="11">
        <v>-7.7123190381241029</v>
      </c>
      <c r="C29" s="11">
        <v>-14.04306821339717</v>
      </c>
      <c r="D29" s="11">
        <v>-4.5336907177386916</v>
      </c>
      <c r="E29" s="11">
        <v>22.998851621122103</v>
      </c>
      <c r="F29" s="11">
        <v>8.3875498383407798</v>
      </c>
      <c r="G29" s="11">
        <v>-6.6829851388622794</v>
      </c>
      <c r="H29" s="4">
        <v>45.003749999999997</v>
      </c>
      <c r="L29" s="19"/>
      <c r="M29" s="19"/>
      <c r="N29" s="19"/>
      <c r="O29" s="26"/>
    </row>
    <row r="30" spans="1:18" x14ac:dyDescent="0.3">
      <c r="A30" s="3" t="s">
        <v>35</v>
      </c>
      <c r="B30" s="11">
        <v>6.8721937905450767</v>
      </c>
      <c r="C30" s="11">
        <v>-5.1123251981414279</v>
      </c>
      <c r="D30" s="11">
        <v>6.4197722132153938</v>
      </c>
      <c r="E30" s="11">
        <v>3.8016955475392451</v>
      </c>
      <c r="F30" s="11">
        <v>-4.5285586462800076</v>
      </c>
      <c r="G30" s="11">
        <v>2.3379696602441591</v>
      </c>
      <c r="H30" s="4">
        <v>36.982105263157905</v>
      </c>
      <c r="L30" s="19"/>
      <c r="M30" s="19"/>
      <c r="N30" s="19"/>
      <c r="O30" s="26"/>
    </row>
    <row r="31" spans="1:18" x14ac:dyDescent="0.3">
      <c r="A31" s="3" t="s">
        <v>36</v>
      </c>
      <c r="B31" s="11">
        <v>15.431132165311837</v>
      </c>
      <c r="C31" s="11">
        <v>12.00854141664909</v>
      </c>
      <c r="D31" s="11">
        <v>7.4861263683662829</v>
      </c>
      <c r="E31" s="11">
        <v>7.6065100450902365</v>
      </c>
      <c r="F31" s="11">
        <v>7.3023058630436966</v>
      </c>
      <c r="G31" s="11">
        <v>15.248523816696052</v>
      </c>
      <c r="H31" s="4">
        <v>30.23761363636363</v>
      </c>
      <c r="L31" s="19"/>
      <c r="M31" s="19"/>
      <c r="N31" s="19"/>
      <c r="O31" s="26"/>
    </row>
    <row r="32" spans="1:18" x14ac:dyDescent="0.3">
      <c r="A32" s="3" t="s">
        <v>37</v>
      </c>
      <c r="B32" s="11">
        <v>8.2799995820806807</v>
      </c>
      <c r="C32" s="11">
        <v>5.8102943299500618</v>
      </c>
      <c r="D32" s="11">
        <v>13.34823478125911</v>
      </c>
      <c r="E32" s="11">
        <v>1.3017544054480124</v>
      </c>
      <c r="F32" s="11">
        <v>5.3775237668905023</v>
      </c>
      <c r="G32" s="11">
        <v>4.3966409848319392</v>
      </c>
      <c r="H32" s="4">
        <v>25.184347826086952</v>
      </c>
    </row>
    <row r="33" spans="1:8" x14ac:dyDescent="0.3">
      <c r="A33" s="3" t="s">
        <v>38</v>
      </c>
      <c r="B33" s="11">
        <v>9.2282456756845566</v>
      </c>
      <c r="C33" s="11">
        <v>0.81969457734808915</v>
      </c>
      <c r="D33" s="11">
        <v>9.2861753711117547</v>
      </c>
      <c r="E33" s="11">
        <v>13.309238241340868</v>
      </c>
      <c r="F33" s="11">
        <v>1.533461420664461</v>
      </c>
      <c r="G33" s="11">
        <v>15.638734246663757</v>
      </c>
      <c r="H33" s="4">
        <v>21.210714285714285</v>
      </c>
    </row>
    <row r="34" spans="1:8" x14ac:dyDescent="0.3">
      <c r="A34" s="3" t="s">
        <v>39</v>
      </c>
      <c r="B34" s="11">
        <v>1.6578150609699798</v>
      </c>
      <c r="C34" s="11">
        <v>-0.70927098404216293</v>
      </c>
      <c r="D34" s="11">
        <v>5.7398675845909946</v>
      </c>
      <c r="E34" s="11">
        <v>0.38835456836394788</v>
      </c>
      <c r="F34" s="11">
        <v>-3.2335632608662608</v>
      </c>
      <c r="G34" s="11">
        <v>-2.7302927898609526</v>
      </c>
      <c r="H34" s="4">
        <v>21.078977272727272</v>
      </c>
    </row>
    <row r="35" spans="1:8" x14ac:dyDescent="0.3">
      <c r="A35" s="3" t="s">
        <v>40</v>
      </c>
      <c r="B35" s="11">
        <v>0.76616482495956473</v>
      </c>
      <c r="C35" s="11">
        <v>6.9352921141117507</v>
      </c>
      <c r="D35" s="11">
        <v>11.884107960752521</v>
      </c>
      <c r="E35" s="11">
        <v>1.3915963324429821</v>
      </c>
      <c r="F35" s="11">
        <v>-1.5188720165972538</v>
      </c>
      <c r="G35" s="11">
        <v>-1.0864702628651559</v>
      </c>
      <c r="H35" s="4">
        <v>21.5825</v>
      </c>
    </row>
    <row r="36" spans="1:8" x14ac:dyDescent="0.3">
      <c r="A36" s="3" t="s">
        <v>41</v>
      </c>
      <c r="B36" s="11">
        <v>4.9029163169910239</v>
      </c>
      <c r="C36" s="11">
        <v>18.812577835749334</v>
      </c>
      <c r="D36" s="11">
        <v>0.27363295748316213</v>
      </c>
      <c r="E36" s="11">
        <v>-1.1154194422411314</v>
      </c>
      <c r="F36" s="11">
        <v>3.281450244893068</v>
      </c>
      <c r="G36" s="11">
        <v>14.752671992347141</v>
      </c>
      <c r="H36" s="4">
        <v>21.011000000000003</v>
      </c>
    </row>
    <row r="37" spans="1:8" x14ac:dyDescent="0.3">
      <c r="A37" s="3" t="s">
        <v>42</v>
      </c>
      <c r="B37" s="11">
        <v>9.0456451960452124</v>
      </c>
      <c r="C37" s="11">
        <v>7.8258604705504471</v>
      </c>
      <c r="D37" s="11">
        <v>7.8173286983749231</v>
      </c>
      <c r="E37" s="11">
        <v>7.626183703348838</v>
      </c>
      <c r="F37" s="11">
        <v>8.5169306247364496</v>
      </c>
      <c r="G37" s="11">
        <v>18.466575583914047</v>
      </c>
      <c r="H37" s="4">
        <v>19.771363636363638</v>
      </c>
    </row>
    <row r="38" spans="1:8" x14ac:dyDescent="0.3">
      <c r="A38" s="3" t="s">
        <v>43</v>
      </c>
      <c r="B38" s="11">
        <v>9.2370536840906841</v>
      </c>
      <c r="C38" s="11">
        <v>4.2942847656288965</v>
      </c>
      <c r="D38" s="11">
        <v>12.483145535884393</v>
      </c>
      <c r="E38" s="11">
        <v>3.3467331042996289</v>
      </c>
      <c r="F38" s="11">
        <v>2.6002716370568413</v>
      </c>
      <c r="G38" s="11">
        <v>6.8244601381878987</v>
      </c>
      <c r="H38" s="4">
        <v>25.34</v>
      </c>
    </row>
    <row r="39" spans="1:8" x14ac:dyDescent="0.3">
      <c r="A39" s="3" t="s">
        <v>44</v>
      </c>
      <c r="B39" s="11">
        <v>7.4003516116537646</v>
      </c>
      <c r="C39" s="11">
        <v>12.693289911946032</v>
      </c>
      <c r="D39" s="11">
        <v>-2.2405412785173526</v>
      </c>
      <c r="E39" s="11">
        <v>-2.9419023256339076</v>
      </c>
      <c r="F39" s="11">
        <v>-1.9901358572127208</v>
      </c>
      <c r="G39" s="11">
        <v>5.3870387205699508</v>
      </c>
      <c r="H39" s="4">
        <v>28.14</v>
      </c>
    </row>
    <row r="40" spans="1:8" x14ac:dyDescent="0.3">
      <c r="A40" s="3" t="s">
        <v>45</v>
      </c>
      <c r="B40" s="11">
        <v>-4.1334664955090146</v>
      </c>
      <c r="C40" s="11">
        <v>-3.0578660658711501</v>
      </c>
      <c r="D40" s="11">
        <v>1.0775599784855854</v>
      </c>
      <c r="E40" s="11">
        <v>-4.0960786957151116</v>
      </c>
      <c r="F40" s="11">
        <v>-0.27279915229321061</v>
      </c>
      <c r="G40" s="11">
        <v>8.854047624412912</v>
      </c>
      <c r="H40" s="4">
        <v>20.65</v>
      </c>
    </row>
    <row r="41" spans="1:8" x14ac:dyDescent="0.3">
      <c r="A41" s="3" t="s">
        <v>46</v>
      </c>
      <c r="B41" s="11">
        <v>-5.0197350406828454</v>
      </c>
      <c r="C41" s="11">
        <v>-6.5712934706361219</v>
      </c>
      <c r="D41" s="11">
        <v>2.0088039305808483</v>
      </c>
      <c r="E41" s="11">
        <v>8.2039747534604128</v>
      </c>
      <c r="F41" s="11">
        <v>2.4181217162141784</v>
      </c>
      <c r="G41" s="11">
        <v>15.161362592587906</v>
      </c>
      <c r="H41" s="4">
        <v>23.03</v>
      </c>
    </row>
    <row r="42" spans="1:8" x14ac:dyDescent="0.3">
      <c r="A42" s="3" t="s">
        <v>47</v>
      </c>
      <c r="B42" s="11">
        <v>3.6625830269861144</v>
      </c>
      <c r="C42" s="11">
        <v>3.9566999875441358</v>
      </c>
      <c r="D42" s="11">
        <v>-5.0906219802258228E-2</v>
      </c>
      <c r="E42" s="11">
        <v>6.7719984824630997</v>
      </c>
      <c r="F42" s="11">
        <v>0.19161583651195044</v>
      </c>
      <c r="G42" s="11">
        <v>15.687397887713313</v>
      </c>
      <c r="H42" s="4">
        <v>17.399999999999999</v>
      </c>
    </row>
    <row r="43" spans="1:8" x14ac:dyDescent="0.3">
      <c r="A43" s="3" t="s">
        <v>48</v>
      </c>
      <c r="B43" s="11">
        <v>5.4255436394911136</v>
      </c>
      <c r="C43" s="11">
        <v>4.1613289052845364</v>
      </c>
      <c r="D43" s="11">
        <v>7.5070716266306281</v>
      </c>
      <c r="E43" s="11">
        <v>1.5820416975869036</v>
      </c>
      <c r="F43" s="11">
        <v>3.9308981860742769</v>
      </c>
      <c r="G43" s="11">
        <v>1.398618376683098</v>
      </c>
      <c r="H43" s="4">
        <v>13.05</v>
      </c>
    </row>
    <row r="44" spans="1:8" x14ac:dyDescent="0.3">
      <c r="A44" s="3" t="s">
        <v>49</v>
      </c>
      <c r="B44" s="11">
        <v>-2.7221231554227892</v>
      </c>
      <c r="C44" s="11">
        <v>0.18526095636910941</v>
      </c>
      <c r="D44" s="11">
        <v>4.1945332724297391</v>
      </c>
      <c r="E44" s="11">
        <v>1.8208414290043213</v>
      </c>
      <c r="F44" s="11">
        <v>1.1437323331159064</v>
      </c>
      <c r="G44" s="11">
        <v>2.3393876463555721</v>
      </c>
      <c r="H44" s="13">
        <v>12.8</v>
      </c>
    </row>
    <row r="45" spans="1:8" x14ac:dyDescent="0.3">
      <c r="A45" s="3" t="s">
        <v>50</v>
      </c>
      <c r="B45" s="11">
        <v>-2.9096686837526122</v>
      </c>
      <c r="C45" s="11">
        <v>1.7889859515234248</v>
      </c>
      <c r="D45" s="11">
        <v>11.502567139446281</v>
      </c>
      <c r="E45" s="11">
        <v>-1.616748493422107</v>
      </c>
      <c r="F45" s="11">
        <v>3.5255286608087038</v>
      </c>
      <c r="G45" s="11">
        <v>5.8324431544463575</v>
      </c>
      <c r="H45" s="13">
        <v>14.52</v>
      </c>
    </row>
    <row r="46" spans="1:8" x14ac:dyDescent="0.3">
      <c r="A46" s="3" t="s">
        <v>51</v>
      </c>
      <c r="B46" s="11">
        <v>2.3527543280539813</v>
      </c>
      <c r="C46" s="11">
        <v>3.9641945437782189</v>
      </c>
      <c r="D46" s="11">
        <v>8.4736853522356057</v>
      </c>
      <c r="E46" s="11">
        <v>1.1266925048238139</v>
      </c>
      <c r="F46" s="11">
        <v>8.3848510084786732</v>
      </c>
      <c r="G46" s="11">
        <v>-8.3669957179666993E-2</v>
      </c>
      <c r="H46" s="13">
        <v>18.399999999999999</v>
      </c>
    </row>
    <row r="47" spans="1:8" x14ac:dyDescent="0.3">
      <c r="A47" s="3" t="s">
        <v>52</v>
      </c>
      <c r="B47" s="11">
        <v>9.602340644532859</v>
      </c>
      <c r="C47" s="11">
        <v>5.1488188340652021</v>
      </c>
      <c r="D47" s="11">
        <v>9.5376300711732226E-2</v>
      </c>
      <c r="E47" s="11">
        <v>0.40986868186567649</v>
      </c>
      <c r="F47" s="11">
        <v>-1.9270444879012285</v>
      </c>
      <c r="G47" s="11">
        <v>2.6537158317950791</v>
      </c>
      <c r="H47" s="13">
        <v>17.43</v>
      </c>
    </row>
    <row r="48" spans="1:8" x14ac:dyDescent="0.3">
      <c r="A48" s="3" t="s">
        <v>53</v>
      </c>
      <c r="B48" s="11">
        <v>1.6808822682340039</v>
      </c>
      <c r="C48" s="11">
        <v>-2.2626696208783952</v>
      </c>
      <c r="D48" s="11">
        <v>0.20948237551241022</v>
      </c>
      <c r="E48" s="11">
        <v>-4.4557799979840524</v>
      </c>
      <c r="F48" s="11">
        <v>-3.4047618868540623</v>
      </c>
      <c r="G48" s="11">
        <v>-3.7296350802958025</v>
      </c>
      <c r="H48" s="13">
        <v>21.17</v>
      </c>
    </row>
    <row r="49" spans="1:8" x14ac:dyDescent="0.3">
      <c r="A49" s="3" t="s">
        <v>54</v>
      </c>
      <c r="B49" s="11">
        <v>-5.866109268902747</v>
      </c>
      <c r="C49" s="11">
        <v>-5.996112079863293</v>
      </c>
      <c r="D49" s="11">
        <v>2.9574269263328219</v>
      </c>
      <c r="E49" s="11">
        <v>-1.6459047897342249</v>
      </c>
      <c r="F49" s="11">
        <v>-3.3992127176804248</v>
      </c>
      <c r="G49" s="11">
        <v>-1.4992467496696364</v>
      </c>
      <c r="H49" s="13">
        <v>16.22</v>
      </c>
    </row>
    <row r="50" spans="1:8" x14ac:dyDescent="0.3">
      <c r="A50" s="3" t="s">
        <v>55</v>
      </c>
      <c r="B50" s="11">
        <v>6.4348848873428306</v>
      </c>
      <c r="C50" s="11">
        <v>5.4043054935239052</v>
      </c>
      <c r="D50" s="11">
        <v>1.6200800098109254</v>
      </c>
      <c r="E50" s="11">
        <v>0.94910329723730658</v>
      </c>
      <c r="F50" s="11">
        <v>0.16039176119532211</v>
      </c>
      <c r="G50" s="11">
        <v>3.0228420426403599</v>
      </c>
      <c r="H50" s="13">
        <v>18.409624999999998</v>
      </c>
    </row>
    <row r="51" spans="1:8" x14ac:dyDescent="0.3">
      <c r="A51" s="3" t="s">
        <v>56</v>
      </c>
      <c r="B51" s="11">
        <v>-0.98097802922363297</v>
      </c>
      <c r="C51" s="11">
        <v>-6.1513870221501489E-2</v>
      </c>
      <c r="D51" s="11">
        <v>-7.2834406573146788</v>
      </c>
      <c r="E51" s="11">
        <v>-2.8073670408454161</v>
      </c>
      <c r="F51" s="11">
        <v>-2.2274724666741492</v>
      </c>
      <c r="G51" s="11">
        <v>1.932540025733638</v>
      </c>
      <c r="H51" s="13">
        <v>22.075250000000004</v>
      </c>
    </row>
    <row r="52" spans="1:8" x14ac:dyDescent="0.3">
      <c r="A52" s="3" t="s">
        <v>57</v>
      </c>
      <c r="B52" s="11">
        <v>-10.125999834219797</v>
      </c>
      <c r="C52" s="11">
        <v>-6.833948101376901</v>
      </c>
      <c r="D52" s="11">
        <v>2.7713716337501428</v>
      </c>
      <c r="E52" s="11">
        <v>0.20646160290899496</v>
      </c>
      <c r="F52" s="11">
        <v>-2.6417139944473442</v>
      </c>
      <c r="G52" s="11">
        <v>8.1946358323155994</v>
      </c>
      <c r="H52" s="13">
        <v>25.079761904761909</v>
      </c>
    </row>
    <row r="53" spans="1:8" x14ac:dyDescent="0.3">
      <c r="A53" s="3" t="s">
        <v>58</v>
      </c>
      <c r="B53" s="11">
        <v>6.6466696448214027</v>
      </c>
      <c r="C53" s="11">
        <v>5.0091994392566024</v>
      </c>
      <c r="D53" s="11">
        <v>-5.0464779635605508</v>
      </c>
      <c r="E53" s="11">
        <v>2.7135095255035733</v>
      </c>
      <c r="F53" s="11">
        <v>6.4913193332851362</v>
      </c>
      <c r="G53" s="11">
        <v>4.6297247423223258</v>
      </c>
      <c r="H53" s="13">
        <v>18.87263157894737</v>
      </c>
    </row>
    <row r="54" spans="1:8" x14ac:dyDescent="0.3">
      <c r="A54" s="3" t="s">
        <v>59</v>
      </c>
      <c r="B54" s="11">
        <v>-0.74238773734079533</v>
      </c>
      <c r="C54" s="11">
        <v>-6.5605448289622252</v>
      </c>
      <c r="D54" s="11">
        <v>-11.980576081657048</v>
      </c>
      <c r="E54" s="11">
        <v>-6.3180134244249677</v>
      </c>
      <c r="F54" s="11">
        <v>-0.39560690974674356</v>
      </c>
      <c r="G54" s="11">
        <v>-14.60814961578944</v>
      </c>
      <c r="H54" s="13">
        <v>22.608690476190482</v>
      </c>
    </row>
    <row r="55" spans="1:8" x14ac:dyDescent="0.3">
      <c r="A55" s="3" t="s">
        <v>60</v>
      </c>
      <c r="B55" s="11">
        <v>4.545959209106301</v>
      </c>
      <c r="C55" s="11">
        <v>-1.8539481696074847</v>
      </c>
      <c r="D55" s="11">
        <v>-4.2032482588852336</v>
      </c>
      <c r="E55" s="11">
        <v>-4.540080698815852</v>
      </c>
      <c r="F55" s="11">
        <v>-0.37866275480110867</v>
      </c>
      <c r="G55" s="11">
        <v>-11.444378881918945</v>
      </c>
      <c r="H55" s="13">
        <v>21.128409090909091</v>
      </c>
    </row>
    <row r="56" spans="1:8" x14ac:dyDescent="0.3">
      <c r="A56" s="3" t="s">
        <v>61</v>
      </c>
      <c r="B56" s="11">
        <v>8.0104994246701491</v>
      </c>
      <c r="C56" s="11">
        <v>4.5972976586379213</v>
      </c>
      <c r="D56" s="11">
        <v>-2.2407996986231256</v>
      </c>
      <c r="E56" s="11">
        <v>2.4874245803975783</v>
      </c>
      <c r="F56" s="11">
        <v>9.9991748525727484</v>
      </c>
      <c r="G56" s="11">
        <v>0.24567850528484916</v>
      </c>
      <c r="H56" s="13">
        <v>18.308690476190478</v>
      </c>
    </row>
    <row r="57" spans="1:8" x14ac:dyDescent="0.3">
      <c r="A57" s="3" t="s">
        <v>62</v>
      </c>
      <c r="B57" s="11">
        <v>6.0356946490930152</v>
      </c>
      <c r="C57" s="11">
        <v>8.9397137200809862</v>
      </c>
      <c r="D57" s="11">
        <v>5.8911360449192856</v>
      </c>
      <c r="E57" s="11">
        <v>2.0166002902839075</v>
      </c>
      <c r="F57" s="11">
        <v>4.0501024017110714</v>
      </c>
      <c r="G57" s="11">
        <v>16.429976319995738</v>
      </c>
      <c r="H57" s="13">
        <v>18.565624999999997</v>
      </c>
    </row>
    <row r="58" spans="1:8" x14ac:dyDescent="0.3">
      <c r="A58" s="3" t="s">
        <v>63</v>
      </c>
      <c r="B58" s="11">
        <v>0.70086841136949118</v>
      </c>
      <c r="C58" s="11">
        <v>3.2212104433470703</v>
      </c>
      <c r="D58" s="11">
        <v>-6.4304964889055132</v>
      </c>
      <c r="E58" s="11">
        <v>-1.2286242282228788</v>
      </c>
      <c r="F58" s="11">
        <v>2.5485450068081472</v>
      </c>
      <c r="G58" s="11">
        <v>3.8849179401818126</v>
      </c>
      <c r="H58" s="13">
        <v>19.554318181818179</v>
      </c>
    </row>
    <row r="59" spans="1:8" x14ac:dyDescent="0.3">
      <c r="A59" s="3" t="s">
        <v>64</v>
      </c>
      <c r="B59" s="11">
        <v>-2.3624672043679995</v>
      </c>
      <c r="C59" s="11">
        <v>-2.5638875789999394E-2</v>
      </c>
      <c r="D59" s="11">
        <v>1.8748771695296245</v>
      </c>
      <c r="E59" s="11">
        <v>3.2291465049292714</v>
      </c>
      <c r="F59" s="11">
        <v>-0.68737962769340322</v>
      </c>
      <c r="G59" s="11">
        <v>-3.0253082686469948</v>
      </c>
      <c r="H59" s="13">
        <v>18.336447368421059</v>
      </c>
    </row>
    <row r="60" spans="1:8" x14ac:dyDescent="0.3">
      <c r="A60" s="3" t="s">
        <v>65</v>
      </c>
      <c r="B60" s="11">
        <v>2.5279360351669706</v>
      </c>
      <c r="C60" s="11">
        <v>5.8749259305609298</v>
      </c>
      <c r="D60" s="11">
        <v>5.3279477384838732</v>
      </c>
      <c r="E60" s="11">
        <v>0.40125683220991731</v>
      </c>
      <c r="F60" s="11">
        <v>1.4061563750272759</v>
      </c>
      <c r="G60" s="11">
        <v>9.8694048013545661</v>
      </c>
      <c r="H60" s="13">
        <v>14.774047619047618</v>
      </c>
    </row>
    <row r="61" spans="1:8" x14ac:dyDescent="0.3">
      <c r="A61" s="3" t="s">
        <v>66</v>
      </c>
      <c r="B61" s="11">
        <v>-2.1141250487443326</v>
      </c>
      <c r="C61" s="11">
        <v>2.1946531819856099</v>
      </c>
      <c r="D61" s="11">
        <v>-0.73434957100420484</v>
      </c>
      <c r="E61" s="11">
        <v>-2.1272769809135608</v>
      </c>
      <c r="F61" s="11">
        <v>2.2177877479585448</v>
      </c>
      <c r="G61" s="11">
        <v>4.3042525746686513</v>
      </c>
      <c r="H61" s="13">
        <v>14.225681818181817</v>
      </c>
    </row>
    <row r="62" spans="1:8" x14ac:dyDescent="0.3">
      <c r="A62" s="3" t="s">
        <v>67</v>
      </c>
      <c r="B62" s="11">
        <v>0.14154300705430989</v>
      </c>
      <c r="C62" s="11">
        <v>-2.2607282402975817</v>
      </c>
      <c r="D62" s="11">
        <v>-0.24310042718523095</v>
      </c>
      <c r="E62" s="11">
        <v>-1.4771720055078958</v>
      </c>
      <c r="F62" s="11">
        <v>-2.2799465797437799</v>
      </c>
      <c r="G62" s="11">
        <v>1.1194889978115967</v>
      </c>
      <c r="H62" s="13">
        <v>15.008333333333335</v>
      </c>
    </row>
    <row r="63" spans="1:8" x14ac:dyDescent="0.3">
      <c r="A63" s="3" t="s">
        <v>68</v>
      </c>
      <c r="B63" s="11">
        <v>2.4233511864678903</v>
      </c>
      <c r="C63" s="11">
        <v>-2.8781043839992857</v>
      </c>
      <c r="D63" s="11">
        <v>4.7199247500320229</v>
      </c>
      <c r="E63" s="11">
        <v>-3.7028122268778851</v>
      </c>
      <c r="F63" s="11">
        <v>2.9946154583343416</v>
      </c>
      <c r="G63" s="11">
        <v>-14.781937977207827</v>
      </c>
      <c r="H63" s="13">
        <v>14.060124999999999</v>
      </c>
    </row>
    <row r="64" spans="1:8" x14ac:dyDescent="0.3">
      <c r="A64" s="3" t="s">
        <v>69</v>
      </c>
      <c r="B64" s="11">
        <v>-5.4540541062242278</v>
      </c>
      <c r="C64" s="11">
        <v>-2.196834754653751</v>
      </c>
      <c r="D64" s="11">
        <v>-5.677872682333275</v>
      </c>
      <c r="E64" s="11">
        <v>-3.4975525269558991</v>
      </c>
      <c r="F64" s="11">
        <v>-0.97225233431262814</v>
      </c>
      <c r="G64" s="11">
        <v>-3.7091071678726202</v>
      </c>
      <c r="H64" s="13">
        <v>14.35464285714286</v>
      </c>
    </row>
    <row r="65" spans="1:8" x14ac:dyDescent="0.3">
      <c r="A65" s="3" t="s">
        <v>70</v>
      </c>
      <c r="B65" s="11">
        <v>3.5168995495729201</v>
      </c>
      <c r="C65" s="11">
        <v>4.8345320708708641</v>
      </c>
      <c r="D65" s="11">
        <v>-3.8809371945358646</v>
      </c>
      <c r="E65" s="11">
        <v>5.6649636580439005</v>
      </c>
      <c r="F65" s="11">
        <v>3.1530614291678827</v>
      </c>
      <c r="G65" s="11">
        <v>2.7494458257170171</v>
      </c>
      <c r="H65" s="13">
        <v>11.911617647058824</v>
      </c>
    </row>
    <row r="66" spans="1:8" x14ac:dyDescent="0.3">
      <c r="A66" s="3" t="s">
        <v>71</v>
      </c>
      <c r="B66" s="11">
        <v>7.5522707569986416</v>
      </c>
      <c r="C66" s="11">
        <v>4.039290754485358</v>
      </c>
      <c r="D66" s="11">
        <v>2.362461393398108</v>
      </c>
      <c r="E66" s="11">
        <v>0.75774484786876761</v>
      </c>
      <c r="F66" s="11">
        <v>5.5646253861130219</v>
      </c>
      <c r="G66" s="11">
        <v>2.3329572612473797</v>
      </c>
      <c r="H66" s="13">
        <v>12.540113636363635</v>
      </c>
    </row>
    <row r="67" spans="1:8" x14ac:dyDescent="0.3">
      <c r="A67" s="3" t="s">
        <v>72</v>
      </c>
      <c r="B67" s="11">
        <v>6.3401044944112872</v>
      </c>
      <c r="C67" s="11">
        <v>0.56847784151381386</v>
      </c>
      <c r="D67" s="11">
        <v>1.6009558196249181</v>
      </c>
      <c r="E67" s="11">
        <v>4.9416286437667596</v>
      </c>
      <c r="F67" s="11">
        <v>4.8509238097795837</v>
      </c>
      <c r="G67" s="11">
        <v>5.1171194321391678</v>
      </c>
      <c r="H67" s="13">
        <v>11.180476190476192</v>
      </c>
    </row>
    <row r="68" spans="1:8" x14ac:dyDescent="0.3">
      <c r="A68" s="3" t="s">
        <v>73</v>
      </c>
      <c r="B68" s="11">
        <v>5.6047889440028396</v>
      </c>
      <c r="C68" s="11">
        <v>3.24283319385653</v>
      </c>
      <c r="D68" s="11">
        <v>3.9112285098897934</v>
      </c>
      <c r="E68" s="11">
        <v>7.6494269051434225</v>
      </c>
      <c r="F68" s="11">
        <v>3.0633945151099842</v>
      </c>
      <c r="G68" s="11">
        <v>5.4791733811489207</v>
      </c>
      <c r="H68" s="13">
        <v>11.182500000000001</v>
      </c>
    </row>
    <row r="69" spans="1:8" x14ac:dyDescent="0.3">
      <c r="A69" s="3" t="s">
        <v>74</v>
      </c>
      <c r="B69" s="11">
        <v>-0.36190559450484577</v>
      </c>
      <c r="C69" s="11">
        <v>-2.0844192375063129</v>
      </c>
      <c r="D69" s="11">
        <v>2.6749313159956949</v>
      </c>
      <c r="E69" s="11">
        <v>8.2024181667412357</v>
      </c>
      <c r="F69" s="11">
        <v>-2.5563361911966687</v>
      </c>
      <c r="G69" s="11">
        <v>2.5146970086034908</v>
      </c>
      <c r="H69" s="13">
        <v>11.63693181818182</v>
      </c>
    </row>
    <row r="70" spans="1:8" x14ac:dyDescent="0.3">
      <c r="A70" s="3" t="s">
        <v>75</v>
      </c>
      <c r="B70" s="11">
        <v>4.6102662407566894</v>
      </c>
      <c r="C70" s="11">
        <v>1.3449822245451575</v>
      </c>
      <c r="D70" s="11">
        <v>5.7525496283248847</v>
      </c>
      <c r="E70" s="11">
        <v>-2.1259948826473123E-2</v>
      </c>
      <c r="F70" s="11">
        <v>8.7054471166059438E-2</v>
      </c>
      <c r="G70" s="11">
        <v>4.5324919360165028</v>
      </c>
      <c r="H70" s="13">
        <v>11.197125</v>
      </c>
    </row>
    <row r="71" spans="1:8" x14ac:dyDescent="0.3">
      <c r="A71" s="3" t="s">
        <v>76</v>
      </c>
      <c r="B71" s="11">
        <v>9.2220629468799081E-2</v>
      </c>
      <c r="C71" s="11">
        <v>-2.7933213031461341</v>
      </c>
      <c r="D71" s="11">
        <v>-3.1606392247474719</v>
      </c>
      <c r="E71" s="11">
        <v>-1.3808564130923455</v>
      </c>
      <c r="F71" s="11">
        <v>-9.7689760188324287E-2</v>
      </c>
      <c r="G71" s="11">
        <v>-3.0963268293901343</v>
      </c>
      <c r="H71" s="13">
        <v>11.109249999999999</v>
      </c>
    </row>
    <row r="72" spans="1:8" x14ac:dyDescent="0.3">
      <c r="A72" s="3" t="s">
        <v>77</v>
      </c>
      <c r="B72" s="11">
        <v>2.6837805614445198</v>
      </c>
      <c r="C72" s="11">
        <v>-9.8471292716645106E-2</v>
      </c>
      <c r="D72" s="11">
        <v>-4.2665406693636141E-3</v>
      </c>
      <c r="E72" s="11">
        <v>3.2596123578103535</v>
      </c>
      <c r="F72" s="11">
        <v>1.0265242974522908</v>
      </c>
      <c r="G72" s="11">
        <v>0.51501091660332865</v>
      </c>
      <c r="H72" s="13">
        <v>11.573214285714286</v>
      </c>
    </row>
    <row r="73" spans="1:8" x14ac:dyDescent="0.3">
      <c r="A73" s="3" t="s">
        <v>78</v>
      </c>
      <c r="B73" s="11">
        <v>7.709095717430853</v>
      </c>
      <c r="C73" s="11">
        <v>8.3737597597362381</v>
      </c>
      <c r="D73" s="11">
        <v>8.7353560709191171</v>
      </c>
      <c r="E73" s="11">
        <v>4.8701573081714757</v>
      </c>
      <c r="F73" s="11">
        <v>4.5131688374485508</v>
      </c>
      <c r="G73" s="11">
        <v>12.384196985829673</v>
      </c>
      <c r="H73" s="13">
        <v>13.512874999999999</v>
      </c>
    </row>
    <row r="74" spans="1:8" x14ac:dyDescent="0.3">
      <c r="A74" s="3" t="s">
        <v>79</v>
      </c>
      <c r="B74" s="11">
        <v>3.9185578589415995</v>
      </c>
      <c r="C74" s="11">
        <v>-1.3273842686392909</v>
      </c>
      <c r="D74" s="11">
        <v>4.8328649688911121</v>
      </c>
      <c r="E74" s="11">
        <v>6.7315836906239834</v>
      </c>
      <c r="F74" s="11">
        <v>2.982884319913842</v>
      </c>
      <c r="G74" s="11">
        <v>3.4717505741703998</v>
      </c>
      <c r="H74" s="13">
        <v>14.090454545454547</v>
      </c>
    </row>
    <row r="75" spans="1:8" x14ac:dyDescent="0.3">
      <c r="A75" s="3" t="s">
        <v>80</v>
      </c>
      <c r="B75" s="11">
        <v>7.7282198316382962</v>
      </c>
      <c r="C75" s="11">
        <v>-1.3660546359371037</v>
      </c>
      <c r="D75" s="11">
        <v>5.1584420786113307</v>
      </c>
      <c r="E75" s="11">
        <v>7.3412512522558844</v>
      </c>
      <c r="F75" s="11">
        <v>-3.8831584497123504</v>
      </c>
      <c r="G75" s="11">
        <v>2.3321161034192133</v>
      </c>
      <c r="H75" s="13">
        <v>15.547857142857143</v>
      </c>
    </row>
    <row r="76" spans="1:8" x14ac:dyDescent="0.3">
      <c r="A76" s="3" t="s">
        <v>81</v>
      </c>
      <c r="B76" s="11">
        <v>3.9019211278098784</v>
      </c>
      <c r="C76" s="11">
        <v>1.9757887366433042</v>
      </c>
      <c r="D76" s="11">
        <v>-3.4045451628789554</v>
      </c>
      <c r="E76" s="11">
        <v>1.0135928037060904</v>
      </c>
      <c r="F76" s="11">
        <v>-0.54245160878286813</v>
      </c>
      <c r="G76" s="11">
        <v>1.2248912281014797</v>
      </c>
      <c r="H76" s="13">
        <v>13.688333333333334</v>
      </c>
    </row>
    <row r="77" spans="1:8" x14ac:dyDescent="0.3">
      <c r="A77" s="3" t="s">
        <v>82</v>
      </c>
      <c r="B77" s="11">
        <v>4.8632786729440811</v>
      </c>
      <c r="C77" s="11">
        <v>2.434215819040523</v>
      </c>
      <c r="D77" s="11">
        <v>-6.1307587478317878</v>
      </c>
      <c r="E77" s="11">
        <v>0.16325324761883456</v>
      </c>
      <c r="F77" s="11">
        <v>-3.0741257242096091E-2</v>
      </c>
      <c r="G77" s="11">
        <v>10.052600911251135</v>
      </c>
      <c r="H77" s="13">
        <v>11.739000000000001</v>
      </c>
    </row>
    <row r="78" spans="1:8" x14ac:dyDescent="0.3">
      <c r="A78" s="3" t="s">
        <v>83</v>
      </c>
      <c r="B78" s="11">
        <v>5.7996330813660384</v>
      </c>
      <c r="C78" s="11">
        <v>0.37600180673312505</v>
      </c>
      <c r="D78" s="11">
        <v>-2.7346192748448388</v>
      </c>
      <c r="E78" s="11">
        <v>0.68007234172548026</v>
      </c>
      <c r="F78" s="11">
        <v>2.3436886482909243</v>
      </c>
      <c r="G78" s="11">
        <v>6.3415139438737542</v>
      </c>
      <c r="H78" s="13">
        <v>20.159772727272728</v>
      </c>
    </row>
    <row r="79" spans="1:8" x14ac:dyDescent="0.3">
      <c r="A79" s="3" t="s">
        <v>84</v>
      </c>
      <c r="B79" s="11">
        <v>8.1979120164885497</v>
      </c>
      <c r="C79" s="11">
        <v>4.7859644004847341</v>
      </c>
      <c r="D79" s="11">
        <v>3.9171433447271551</v>
      </c>
      <c r="E79" s="11">
        <v>2.5804500099750567</v>
      </c>
      <c r="F79" s="11">
        <v>3.176419037913436</v>
      </c>
      <c r="G79" s="11">
        <v>3.1595220689572616</v>
      </c>
      <c r="H79" s="13">
        <v>15.562368421052632</v>
      </c>
    </row>
    <row r="80" spans="1:8" x14ac:dyDescent="0.3">
      <c r="A80" s="3" t="s">
        <v>85</v>
      </c>
      <c r="B80" s="11">
        <v>2.2188921402410093</v>
      </c>
      <c r="C80" s="11">
        <v>2.8829922981701435</v>
      </c>
      <c r="D80" s="11">
        <v>12.474094776603591</v>
      </c>
      <c r="E80" s="11">
        <v>5.9340968371652671</v>
      </c>
      <c r="F80" s="11">
        <v>5.7797883923676761</v>
      </c>
      <c r="G80" s="11">
        <v>-1.5892071738418219</v>
      </c>
      <c r="H80" s="13">
        <v>13.540454545454542</v>
      </c>
    </row>
    <row r="81" spans="1:8" x14ac:dyDescent="0.3">
      <c r="A81" s="3" t="s">
        <v>86</v>
      </c>
      <c r="B81" s="11">
        <v>-0.19755335471227184</v>
      </c>
      <c r="C81" s="11">
        <v>-2.8246273116032441</v>
      </c>
      <c r="D81" s="11">
        <v>4.0001178345675497</v>
      </c>
      <c r="E81" s="11">
        <v>7.6996248886601197</v>
      </c>
      <c r="F81" s="11">
        <v>3.8425285087603269</v>
      </c>
      <c r="G81" s="11">
        <v>-4.5086572967937606</v>
      </c>
      <c r="H81" s="13">
        <v>14.900833333333335</v>
      </c>
    </row>
    <row r="82" spans="1:8" x14ac:dyDescent="0.3">
      <c r="A82" s="3" t="s">
        <v>87</v>
      </c>
      <c r="B82" s="11">
        <v>2.6890578969238068</v>
      </c>
      <c r="C82" s="11">
        <v>3.4733154301510321</v>
      </c>
      <c r="D82" s="11">
        <v>4.8418368806562651</v>
      </c>
      <c r="E82" s="11">
        <v>4.1627140897990058</v>
      </c>
      <c r="F82" s="11">
        <v>3.9365583825700359</v>
      </c>
      <c r="G82" s="11">
        <v>2.6038669090370168</v>
      </c>
      <c r="H82" s="13">
        <v>13.286547619047621</v>
      </c>
    </row>
    <row r="83" spans="1:8" x14ac:dyDescent="0.3">
      <c r="A83" s="3" t="s">
        <v>88</v>
      </c>
      <c r="B83" s="11">
        <v>-3.3714130477623958</v>
      </c>
      <c r="C83" s="11">
        <v>-1.683399111531406</v>
      </c>
      <c r="D83" s="11">
        <v>-0.95412405830847435</v>
      </c>
      <c r="E83" s="11">
        <v>-0.22086367463041451</v>
      </c>
      <c r="F83" s="11">
        <v>-5.3142899834410731</v>
      </c>
      <c r="G83" s="11">
        <v>2.3349677195132248</v>
      </c>
      <c r="H83" s="13">
        <v>13.932386363636363</v>
      </c>
    </row>
    <row r="84" spans="1:8" x14ac:dyDescent="0.3">
      <c r="A84" s="3" t="s">
        <v>89</v>
      </c>
      <c r="B84" s="11">
        <v>-7.2449329435257948</v>
      </c>
      <c r="C84" s="11">
        <v>-0.20388794140666916</v>
      </c>
      <c r="D84" s="11">
        <v>0.46224528813662796</v>
      </c>
      <c r="E84" s="11">
        <v>-3.9767551362578639</v>
      </c>
      <c r="F84" s="11">
        <v>-6.2891510730778188</v>
      </c>
      <c r="G84" s="11">
        <v>-5.8139131529046617</v>
      </c>
      <c r="H84" s="13">
        <v>15.254736842105265</v>
      </c>
    </row>
    <row r="85" spans="1:8" x14ac:dyDescent="0.3">
      <c r="A85" s="3" t="s">
        <v>90</v>
      </c>
      <c r="B85" s="11">
        <v>-0.4995680994292071</v>
      </c>
      <c r="C85" s="11">
        <v>1.8387235670542228</v>
      </c>
      <c r="D85" s="11">
        <v>5.3428665806007496</v>
      </c>
      <c r="E85" s="11">
        <v>1.1754415839346317</v>
      </c>
      <c r="F85" s="11">
        <v>-1.4413254085903482</v>
      </c>
      <c r="G85" s="11">
        <v>0.3373296737546671</v>
      </c>
      <c r="H85" s="13">
        <v>14.020714285714288</v>
      </c>
    </row>
  </sheetData>
  <mergeCells count="2">
    <mergeCell ref="K11:R11"/>
    <mergeCell ref="K1:N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BD053-21E1-4843-91DD-E9489DB421D4}">
  <dimension ref="V4:AB37"/>
  <sheetViews>
    <sheetView tabSelected="1" topLeftCell="F2" zoomScale="89" zoomScaleNormal="94" workbookViewId="0">
      <selection activeCell="S18" sqref="S18"/>
    </sheetView>
  </sheetViews>
  <sheetFormatPr defaultRowHeight="14.4" x14ac:dyDescent="0.3"/>
  <cols>
    <col min="22" max="22" width="19.77734375" bestFit="1" customWidth="1"/>
    <col min="23" max="23" width="10.33203125" bestFit="1" customWidth="1"/>
    <col min="24" max="24" width="11.109375" bestFit="1" customWidth="1"/>
    <col min="25" max="25" width="11" bestFit="1" customWidth="1"/>
    <col min="27" max="27" width="17.77734375" customWidth="1"/>
    <col min="28" max="28" width="16.44140625" customWidth="1"/>
  </cols>
  <sheetData>
    <row r="4" spans="22:28" x14ac:dyDescent="0.3">
      <c r="V4" s="28" t="s">
        <v>142</v>
      </c>
    </row>
    <row r="6" spans="22:28" x14ac:dyDescent="0.3">
      <c r="V6" s="14" t="s">
        <v>0</v>
      </c>
      <c r="W6" s="15" t="s">
        <v>2</v>
      </c>
      <c r="X6" s="15" t="s">
        <v>5</v>
      </c>
      <c r="Y6" s="15" t="s">
        <v>6</v>
      </c>
      <c r="AA6" s="31" t="s">
        <v>105</v>
      </c>
      <c r="AB6" s="32"/>
    </row>
    <row r="7" spans="22:28" x14ac:dyDescent="0.3">
      <c r="V7" s="33" t="s">
        <v>16</v>
      </c>
      <c r="W7" s="24">
        <v>24993.985714285711</v>
      </c>
      <c r="X7" s="24">
        <v>28362.659523809529</v>
      </c>
      <c r="Y7" s="24">
        <v>3390.8095238095239</v>
      </c>
      <c r="AA7" s="3" t="s">
        <v>106</v>
      </c>
      <c r="AB7" s="3" t="s">
        <v>108</v>
      </c>
    </row>
    <row r="8" spans="22:28" x14ac:dyDescent="0.3">
      <c r="V8" s="7" t="s">
        <v>17</v>
      </c>
      <c r="W8" s="4">
        <v>26062.377500000006</v>
      </c>
      <c r="X8" s="4">
        <v>29194.719999999994</v>
      </c>
      <c r="Y8" s="4">
        <v>3322.6875</v>
      </c>
      <c r="AA8" s="3" t="s">
        <v>103</v>
      </c>
      <c r="AB8" s="3">
        <v>1</v>
      </c>
    </row>
    <row r="9" spans="22:28" x14ac:dyDescent="0.3">
      <c r="V9" s="33" t="s">
        <v>22</v>
      </c>
      <c r="W9" s="24">
        <v>29972.526315789473</v>
      </c>
      <c r="X9" s="24">
        <v>30270.997368421064</v>
      </c>
      <c r="Y9" s="24">
        <v>3085.8973684210523</v>
      </c>
      <c r="AA9" s="3" t="s">
        <v>98</v>
      </c>
      <c r="AB9" s="3">
        <v>2</v>
      </c>
    </row>
    <row r="10" spans="22:28" x14ac:dyDescent="0.3">
      <c r="V10" s="7" t="s">
        <v>23</v>
      </c>
      <c r="W10" s="4">
        <v>30025.913636363635</v>
      </c>
      <c r="X10" s="4">
        <v>29770.002272727274</v>
      </c>
      <c r="Y10" s="4">
        <v>2910.693181818182</v>
      </c>
      <c r="AA10" s="3" t="s">
        <v>99</v>
      </c>
      <c r="AB10" s="3">
        <v>3</v>
      </c>
    </row>
    <row r="11" spans="22:28" x14ac:dyDescent="0.3">
      <c r="V11" s="33" t="s">
        <v>33</v>
      </c>
      <c r="W11" s="24">
        <v>22936.040476190479</v>
      </c>
      <c r="X11" s="24">
        <v>26407.204761904763</v>
      </c>
      <c r="Y11" s="24">
        <v>1814.5761904761905</v>
      </c>
      <c r="AA11" s="3" t="s">
        <v>100</v>
      </c>
      <c r="AB11" s="3">
        <v>4</v>
      </c>
    </row>
    <row r="12" spans="22:28" x14ac:dyDescent="0.3">
      <c r="V12" s="7" t="s">
        <v>34</v>
      </c>
      <c r="W12" s="4">
        <v>19715.116666666665</v>
      </c>
      <c r="X12" s="4">
        <v>28622.122222222224</v>
      </c>
      <c r="Y12" s="4">
        <v>1693.3083333333334</v>
      </c>
      <c r="AA12" s="3" t="s">
        <v>101</v>
      </c>
      <c r="AB12" s="3">
        <v>5</v>
      </c>
    </row>
    <row r="13" spans="22:28" x14ac:dyDescent="0.3">
      <c r="V13" s="33" t="s">
        <v>35</v>
      </c>
      <c r="W13" s="24">
        <v>18707.215789473685</v>
      </c>
      <c r="X13" s="24">
        <v>27325.952631578948</v>
      </c>
      <c r="Y13" s="24">
        <v>1732.8973684210528</v>
      </c>
      <c r="AA13" s="3" t="s">
        <v>102</v>
      </c>
      <c r="AB13" s="3">
        <v>6</v>
      </c>
    </row>
    <row r="14" spans="22:28" x14ac:dyDescent="0.3">
      <c r="V14" s="7" t="s">
        <v>36</v>
      </c>
      <c r="W14" s="4">
        <v>20953.67954545455</v>
      </c>
      <c r="X14" s="4">
        <v>29321.377272727281</v>
      </c>
      <c r="Y14" s="4">
        <v>1997.1386363636361</v>
      </c>
    </row>
    <row r="15" spans="22:28" x14ac:dyDescent="0.3">
      <c r="V15" s="33" t="s">
        <v>37</v>
      </c>
      <c r="W15" s="24">
        <v>22171.15</v>
      </c>
      <c r="X15" s="24">
        <v>30898.141304347821</v>
      </c>
      <c r="Y15" s="24">
        <v>2084.9456521739135</v>
      </c>
    </row>
    <row r="16" spans="22:28" x14ac:dyDescent="0.3">
      <c r="V16" s="7" t="s">
        <v>38</v>
      </c>
      <c r="W16" s="4">
        <v>22352.885714285712</v>
      </c>
      <c r="X16" s="4">
        <v>31371.952380952385</v>
      </c>
      <c r="Y16" s="4">
        <v>2411.0047619047623</v>
      </c>
    </row>
    <row r="17" spans="22:25" x14ac:dyDescent="0.3">
      <c r="V17" s="33" t="s">
        <v>39</v>
      </c>
      <c r="W17" s="24">
        <v>22194.343181818178</v>
      </c>
      <c r="X17" s="24">
        <v>30357.520454545451</v>
      </c>
      <c r="Y17" s="24">
        <v>2345.1772727272723</v>
      </c>
    </row>
    <row r="18" spans="22:25" x14ac:dyDescent="0.3">
      <c r="V18" s="7" t="s">
        <v>40</v>
      </c>
      <c r="W18" s="4">
        <v>23733.585714285713</v>
      </c>
      <c r="X18" s="4">
        <v>29896.428571428572</v>
      </c>
      <c r="Y18" s="4">
        <v>2319.6976190476184</v>
      </c>
    </row>
    <row r="19" spans="22:25" x14ac:dyDescent="0.3">
      <c r="V19" s="33" t="s">
        <v>41</v>
      </c>
      <c r="W19" s="24">
        <v>28198.484999999997</v>
      </c>
      <c r="X19" s="24">
        <v>30877.464999999997</v>
      </c>
      <c r="Y19" s="24">
        <v>2661.915</v>
      </c>
    </row>
    <row r="20" spans="22:25" x14ac:dyDescent="0.3">
      <c r="V20" s="7" t="s">
        <v>42</v>
      </c>
      <c r="W20" s="4">
        <v>30405.259090909094</v>
      </c>
      <c r="X20" s="4">
        <v>33507.277272727275</v>
      </c>
      <c r="Y20" s="4">
        <v>3153.4795454545456</v>
      </c>
    </row>
    <row r="21" spans="22:25" x14ac:dyDescent="0.3">
      <c r="V21" s="33" t="s">
        <v>43</v>
      </c>
      <c r="W21" s="24">
        <v>31710.947499999998</v>
      </c>
      <c r="X21" s="24">
        <v>34378.557499999995</v>
      </c>
      <c r="Y21" s="24">
        <v>3368.6875</v>
      </c>
    </row>
    <row r="22" spans="22:25" x14ac:dyDescent="0.3">
      <c r="V22" s="7" t="s">
        <v>44</v>
      </c>
      <c r="W22" s="4">
        <v>35736.11</v>
      </c>
      <c r="X22" s="4">
        <v>33694.377500000002</v>
      </c>
      <c r="Y22" s="4">
        <v>3550.16</v>
      </c>
    </row>
    <row r="23" spans="22:25" x14ac:dyDescent="0.3">
      <c r="V23" s="33" t="s">
        <v>45</v>
      </c>
      <c r="W23" s="24">
        <v>34643.347619047614</v>
      </c>
      <c r="X23" s="24">
        <v>33602.459523809528</v>
      </c>
      <c r="Y23" s="24">
        <v>3864.4928571428572</v>
      </c>
    </row>
    <row r="24" spans="22:25" x14ac:dyDescent="0.3">
      <c r="V24" s="7" t="s">
        <v>46</v>
      </c>
      <c r="W24" s="4">
        <v>32366.831578947364</v>
      </c>
      <c r="X24" s="4">
        <v>34415.007894736846</v>
      </c>
      <c r="Y24" s="4">
        <v>4450.4026315789461</v>
      </c>
    </row>
    <row r="25" spans="22:25" x14ac:dyDescent="0.3">
      <c r="V25" s="33" t="s">
        <v>51</v>
      </c>
      <c r="W25" s="24">
        <v>37157.595238095244</v>
      </c>
      <c r="X25" s="24">
        <v>40670.447619047613</v>
      </c>
      <c r="Y25" s="24">
        <v>5649.5714285714294</v>
      </c>
    </row>
    <row r="26" spans="22:25" x14ac:dyDescent="0.3">
      <c r="V26" s="7" t="s">
        <v>53</v>
      </c>
      <c r="W26" s="4">
        <v>38186.729999999996</v>
      </c>
      <c r="X26" s="4">
        <v>38528.662499999991</v>
      </c>
      <c r="Y26" s="4">
        <v>5583.1949999999997</v>
      </c>
    </row>
    <row r="27" spans="22:25" x14ac:dyDescent="0.3">
      <c r="V27" s="33" t="s">
        <v>55</v>
      </c>
      <c r="W27" s="24">
        <v>37836.995000000003</v>
      </c>
      <c r="X27" s="24">
        <v>37278.6875</v>
      </c>
      <c r="Y27" s="24">
        <v>5665.7300000000014</v>
      </c>
    </row>
    <row r="28" spans="22:25" x14ac:dyDescent="0.3">
      <c r="V28" s="7" t="s">
        <v>56</v>
      </c>
      <c r="W28" s="4">
        <v>37813.719999999987</v>
      </c>
      <c r="X28" s="4">
        <v>36448.315000000002</v>
      </c>
      <c r="Y28" s="4">
        <v>5775.2224999999999</v>
      </c>
    </row>
    <row r="29" spans="22:25" x14ac:dyDescent="0.3">
      <c r="V29" s="33" t="s">
        <v>57</v>
      </c>
      <c r="W29" s="24">
        <v>35229.55000000001</v>
      </c>
      <c r="X29" s="24">
        <v>35485.454761904752</v>
      </c>
      <c r="Y29" s="24">
        <v>6248.4809523809527</v>
      </c>
    </row>
    <row r="30" spans="22:25" x14ac:dyDescent="0.3">
      <c r="V30" s="7" t="s">
        <v>58</v>
      </c>
      <c r="W30" s="4">
        <v>36994.268421052635</v>
      </c>
      <c r="X30" s="4">
        <v>37788.928947368426</v>
      </c>
      <c r="Y30" s="4">
        <v>6537.7684210526313</v>
      </c>
    </row>
    <row r="31" spans="22:25" x14ac:dyDescent="0.3">
      <c r="V31" s="33" t="s">
        <v>59</v>
      </c>
      <c r="W31" s="24">
        <v>34567.242857142861</v>
      </c>
      <c r="X31" s="24">
        <v>37639.433333333349</v>
      </c>
      <c r="Y31" s="24">
        <v>5582.7214285714281</v>
      </c>
    </row>
    <row r="32" spans="22:25" x14ac:dyDescent="0.3">
      <c r="V32" s="7" t="s">
        <v>60</v>
      </c>
      <c r="W32" s="4">
        <v>33926.384090909087</v>
      </c>
      <c r="X32" s="4">
        <v>37496.906818181822</v>
      </c>
      <c r="Y32" s="4">
        <v>4943.8136363636359</v>
      </c>
    </row>
    <row r="33" spans="22:25" x14ac:dyDescent="0.3">
      <c r="V33" s="33" t="s">
        <v>61</v>
      </c>
      <c r="W33" s="24">
        <v>35486.080952380958</v>
      </c>
      <c r="X33" s="24">
        <v>41246.288095238095</v>
      </c>
      <c r="Y33" s="24">
        <v>4955.9595238095226</v>
      </c>
    </row>
    <row r="34" spans="22:25" x14ac:dyDescent="0.3">
      <c r="V34" s="7" t="s">
        <v>62</v>
      </c>
      <c r="W34" s="4">
        <v>38658.435000000005</v>
      </c>
      <c r="X34" s="4">
        <v>42916.805</v>
      </c>
      <c r="Y34" s="4">
        <v>5770.2225000000008</v>
      </c>
    </row>
    <row r="35" spans="22:25" x14ac:dyDescent="0.3">
      <c r="V35" s="33" t="s">
        <v>63</v>
      </c>
      <c r="W35" s="24">
        <v>39903.704545454544</v>
      </c>
      <c r="X35" s="24">
        <v>44010.55909090909</v>
      </c>
      <c r="Y35" s="24">
        <v>5994.3909090909083</v>
      </c>
    </row>
    <row r="36" spans="22:25" x14ac:dyDescent="0.3">
      <c r="V36" s="7" t="s">
        <v>64</v>
      </c>
      <c r="W36" s="4">
        <v>39893.473684210527</v>
      </c>
      <c r="X36" s="4">
        <v>43708.039473684214</v>
      </c>
      <c r="Y36" s="4">
        <v>5813.0421052631573</v>
      </c>
    </row>
    <row r="37" spans="22:25" x14ac:dyDescent="0.3">
      <c r="V37" s="33" t="s">
        <v>83</v>
      </c>
      <c r="W37" s="24">
        <v>48364.570454545457</v>
      </c>
      <c r="X37" s="24">
        <v>55058.931818181816</v>
      </c>
      <c r="Y37" s="24">
        <v>9482.1590909090901</v>
      </c>
    </row>
  </sheetData>
  <mergeCells count="1">
    <mergeCell ref="AA6:AB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</vt:lpstr>
      <vt:lpstr>Sectorial Returns </vt:lpstr>
      <vt:lpstr>Sheet1</vt:lpstr>
      <vt:lpstr>Volatility Analysis</vt:lpstr>
      <vt:lpstr>Sectorial Ranking (Sensitivity)</vt:lpstr>
      <vt:lpstr>Average Returns</vt:lpstr>
      <vt:lpstr>Uncertainity periods</vt:lpstr>
      <vt:lpstr>Comparative Analysis</vt:lpstr>
      <vt:lpstr>Correlation Analysis</vt:lpstr>
      <vt:lpstr>Graphical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Arudra Pavani</dc:creator>
  <cp:lastModifiedBy>Arudra Pavani</cp:lastModifiedBy>
  <dcterms:created xsi:type="dcterms:W3CDTF">2026-01-09T10:48:20Z</dcterms:created>
  <dcterms:modified xsi:type="dcterms:W3CDTF">2026-01-12T08:09:22Z</dcterms:modified>
</cp:coreProperties>
</file>